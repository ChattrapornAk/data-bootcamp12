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ditional Formatting" sheetId="1" r:id="rId4"/>
    <sheet state="visible" name="Project Dynamic Query" sheetId="2" r:id="rId5"/>
    <sheet state="visible" name="Project Convert TH to EN Date" sheetId="3" r:id="rId6"/>
    <sheet state="visible" name="Project ID Card Parser" sheetId="4" r:id="rId7"/>
  </sheets>
  <definedNames>
    <definedName localSheetId="2" name="MONTH">'Project Convert TH to EN Date'!$A$4:$B$15</definedName>
    <definedName localSheetId="1" name="CUSTOMER_DATA">'Project Dynamic Query'!$A$3:$J$53</definedName>
  </definedNames>
  <calcPr/>
</workbook>
</file>

<file path=xl/sharedStrings.xml><?xml version="1.0" encoding="utf-8"?>
<sst xmlns="http://schemas.openxmlformats.org/spreadsheetml/2006/main" count="711" uniqueCount="287">
  <si>
    <t>Conditional Formatting</t>
  </si>
  <si>
    <t>CustomerID</t>
  </si>
  <si>
    <t>FirstName</t>
  </si>
  <si>
    <t>LastName</t>
  </si>
  <si>
    <t>Email</t>
  </si>
  <si>
    <t>SignupDate</t>
  </si>
  <si>
    <t>LeadSource</t>
  </si>
  <si>
    <t>CustomerSegment</t>
  </si>
  <si>
    <t>TotalPurchases</t>
  </si>
  <si>
    <t>TotalSpend</t>
  </si>
  <si>
    <t>LastContactDate</t>
  </si>
  <si>
    <t>Checkbox</t>
  </si>
  <si>
    <t>CUST001</t>
  </si>
  <si>
    <t>Liam</t>
  </si>
  <si>
    <t>Smith</t>
  </si>
  <si>
    <t>liam.s@email.com</t>
  </si>
  <si>
    <t>Web</t>
  </si>
  <si>
    <t>SMB</t>
  </si>
  <si>
    <t>CUST002</t>
  </si>
  <si>
    <t>Olivia</t>
  </si>
  <si>
    <t>Johnson</t>
  </si>
  <si>
    <t>olivia.j@email.com</t>
  </si>
  <si>
    <t>Referral</t>
  </si>
  <si>
    <t>Individual</t>
  </si>
  <si>
    <t>CUST003</t>
  </si>
  <si>
    <t>Noah</t>
  </si>
  <si>
    <t>Williams</t>
  </si>
  <si>
    <t>noah.w@email.com</t>
  </si>
  <si>
    <t>Social Media</t>
  </si>
  <si>
    <t>CUST004</t>
  </si>
  <si>
    <t>Emma</t>
  </si>
  <si>
    <t>Brown</t>
  </si>
  <si>
    <t>emma.b@email.com</t>
  </si>
  <si>
    <t>Enterprise</t>
  </si>
  <si>
    <t>CUST005</t>
  </si>
  <si>
    <t>Oliver</t>
  </si>
  <si>
    <t>Jones</t>
  </si>
  <si>
    <t>oliver.j@email.com</t>
  </si>
  <si>
    <t>CUST006</t>
  </si>
  <si>
    <t>Ava</t>
  </si>
  <si>
    <t>Garcia</t>
  </si>
  <si>
    <t>ava.g@email.com</t>
  </si>
  <si>
    <t>CUST007</t>
  </si>
  <si>
    <t>Elijah</t>
  </si>
  <si>
    <t>Miller</t>
  </si>
  <si>
    <t>elijah.m@email.com</t>
  </si>
  <si>
    <t>CUST008</t>
  </si>
  <si>
    <t>Charlotte</t>
  </si>
  <si>
    <t>Davis</t>
  </si>
  <si>
    <t>charlotte.d@email.com</t>
  </si>
  <si>
    <t>CUST009</t>
  </si>
  <si>
    <t>William</t>
  </si>
  <si>
    <t>Rodriguez</t>
  </si>
  <si>
    <t>william.r@email.com</t>
  </si>
  <si>
    <t>CUST010</t>
  </si>
  <si>
    <t>Sophia</t>
  </si>
  <si>
    <t>Martinez</t>
  </si>
  <si>
    <t>sophia.m@email.com</t>
  </si>
  <si>
    <t>CUST011</t>
  </si>
  <si>
    <t>James</t>
  </si>
  <si>
    <t>Hernandez</t>
  </si>
  <si>
    <t>james.h@email.com</t>
  </si>
  <si>
    <t>CUST012</t>
  </si>
  <si>
    <t>Amelia</t>
  </si>
  <si>
    <t>Lopez</t>
  </si>
  <si>
    <t>amelia.l@email.com</t>
  </si>
  <si>
    <t>CUST013</t>
  </si>
  <si>
    <t>Benjamin</t>
  </si>
  <si>
    <t>Gonzalez</t>
  </si>
  <si>
    <t>benjamin.g@email.com</t>
  </si>
  <si>
    <t>CUST014</t>
  </si>
  <si>
    <t>Isabella</t>
  </si>
  <si>
    <t>Wilson</t>
  </si>
  <si>
    <t>isabella.w@email.com</t>
  </si>
  <si>
    <t>CUST015</t>
  </si>
  <si>
    <t>Lucas</t>
  </si>
  <si>
    <t>Anderson</t>
  </si>
  <si>
    <t>lucas.a@email.com</t>
  </si>
  <si>
    <t>CUST016</t>
  </si>
  <si>
    <t>Mia</t>
  </si>
  <si>
    <t>Thomas</t>
  </si>
  <si>
    <t>mia.t@email.com</t>
  </si>
  <si>
    <t>CUST017</t>
  </si>
  <si>
    <t>Henry</t>
  </si>
  <si>
    <t>Taylor</t>
  </si>
  <si>
    <t>henry.t@email.com</t>
  </si>
  <si>
    <t>CUST018</t>
  </si>
  <si>
    <t>Evelyn</t>
  </si>
  <si>
    <t>Moore</t>
  </si>
  <si>
    <t>evelyn.m@email.com</t>
  </si>
  <si>
    <t>CUST019</t>
  </si>
  <si>
    <t>Alexander</t>
  </si>
  <si>
    <t>Jackson</t>
  </si>
  <si>
    <t>alexander.j@email.com</t>
  </si>
  <si>
    <t>CUST020</t>
  </si>
  <si>
    <t>Harper</t>
  </si>
  <si>
    <t>Martin</t>
  </si>
  <si>
    <t>harper.m@email.com</t>
  </si>
  <si>
    <t>CUST021</t>
  </si>
  <si>
    <t>Sebastian</t>
  </si>
  <si>
    <t>Lee</t>
  </si>
  <si>
    <t>sebastian.l@email.com</t>
  </si>
  <si>
    <t>CUST022</t>
  </si>
  <si>
    <t>Camila</t>
  </si>
  <si>
    <t>Perez</t>
  </si>
  <si>
    <t>camila.p@email.com</t>
  </si>
  <si>
    <t>CUST023</t>
  </si>
  <si>
    <t>Jack</t>
  </si>
  <si>
    <t>Thompson</t>
  </si>
  <si>
    <t>jack.t@email.com</t>
  </si>
  <si>
    <t>CUST024</t>
  </si>
  <si>
    <t>Aria</t>
  </si>
  <si>
    <t>White</t>
  </si>
  <si>
    <t>aria.w@email.com</t>
  </si>
  <si>
    <t>CUST025</t>
  </si>
  <si>
    <t>Owen</t>
  </si>
  <si>
    <t>Harris</t>
  </si>
  <si>
    <t>owen.h@email.com</t>
  </si>
  <si>
    <t>CUST026</t>
  </si>
  <si>
    <t>Scarlett</t>
  </si>
  <si>
    <t>Sanchez</t>
  </si>
  <si>
    <t>scarlett.s@email.com</t>
  </si>
  <si>
    <t>CUST027</t>
  </si>
  <si>
    <t>Theodore</t>
  </si>
  <si>
    <t>Clark</t>
  </si>
  <si>
    <t>theodore.c@email.com</t>
  </si>
  <si>
    <t>CUST028</t>
  </si>
  <si>
    <t>Abigail</t>
  </si>
  <si>
    <t>Ramirez</t>
  </si>
  <si>
    <t>abigail.r@email.com</t>
  </si>
  <si>
    <t>CUST029</t>
  </si>
  <si>
    <t>Mateo</t>
  </si>
  <si>
    <t>Lewis</t>
  </si>
  <si>
    <t>mateo.l@email.com</t>
  </si>
  <si>
    <t>CUST030</t>
  </si>
  <si>
    <t>Emily</t>
  </si>
  <si>
    <t>Robinson</t>
  </si>
  <si>
    <t>emily.r@email.com</t>
  </si>
  <si>
    <t>CUST031</t>
  </si>
  <si>
    <t>Daniel</t>
  </si>
  <si>
    <t>Wright</t>
  </si>
  <si>
    <t>daniel.w@email.com</t>
  </si>
  <si>
    <t>CUST032</t>
  </si>
  <si>
    <t>Chloe</t>
  </si>
  <si>
    <t>Hill</t>
  </si>
  <si>
    <t>chloe.h@email.com</t>
  </si>
  <si>
    <t>CUST033</t>
  </si>
  <si>
    <t>Joseph</t>
  </si>
  <si>
    <t>Scott</t>
  </si>
  <si>
    <t>joseph.s@email.com</t>
  </si>
  <si>
    <t>CUST034</t>
  </si>
  <si>
    <t>Penelope</t>
  </si>
  <si>
    <t>Green</t>
  </si>
  <si>
    <t>penelope.g@email.com</t>
  </si>
  <si>
    <t>CUST035</t>
  </si>
  <si>
    <t>Levi</t>
  </si>
  <si>
    <t>Adams</t>
  </si>
  <si>
    <t>levi.a@email.com</t>
  </si>
  <si>
    <t>CUST036</t>
  </si>
  <si>
    <t>Grace</t>
  </si>
  <si>
    <t>Baker</t>
  </si>
  <si>
    <t>grace.b@email.com</t>
  </si>
  <si>
    <t>CUST037</t>
  </si>
  <si>
    <t>Samuel</t>
  </si>
  <si>
    <t>Nelson</t>
  </si>
  <si>
    <t>samuel.n@email.com</t>
  </si>
  <si>
    <t>CUST038</t>
  </si>
  <si>
    <t>Riley</t>
  </si>
  <si>
    <t>Carter</t>
  </si>
  <si>
    <t>riley.c@email.com</t>
  </si>
  <si>
    <t>CUST039</t>
  </si>
  <si>
    <t>Wyatt</t>
  </si>
  <si>
    <t>Mitchell</t>
  </si>
  <si>
    <t>wyatt.m@email.com</t>
  </si>
  <si>
    <t>CUST040</t>
  </si>
  <si>
    <t>Eleanor</t>
  </si>
  <si>
    <t>eleanor.p@email.com</t>
  </si>
  <si>
    <t>CUST041</t>
  </si>
  <si>
    <t>Julian</t>
  </si>
  <si>
    <t>Roberts</t>
  </si>
  <si>
    <t>julian.r@email.com</t>
  </si>
  <si>
    <t>CUST042</t>
  </si>
  <si>
    <t>Nora</t>
  </si>
  <si>
    <t>Turner</t>
  </si>
  <si>
    <t>nora.t@email.com</t>
  </si>
  <si>
    <t>CUST043</t>
  </si>
  <si>
    <t>Lincoln</t>
  </si>
  <si>
    <t>Phillips</t>
  </si>
  <si>
    <t>lincoln.p@email.com</t>
  </si>
  <si>
    <t>CUST044</t>
  </si>
  <si>
    <t>Stella</t>
  </si>
  <si>
    <t>Campbell</t>
  </si>
  <si>
    <t>stella.c@email.com</t>
  </si>
  <si>
    <t>CUST045</t>
  </si>
  <si>
    <t>Leo</t>
  </si>
  <si>
    <t>Parker</t>
  </si>
  <si>
    <t>leo.p@email.com</t>
  </si>
  <si>
    <t>CUST046</t>
  </si>
  <si>
    <t>Hazel</t>
  </si>
  <si>
    <t>Evans</t>
  </si>
  <si>
    <t>hazel.e@email.com</t>
  </si>
  <si>
    <t>CUST047</t>
  </si>
  <si>
    <t>Isaiah</t>
  </si>
  <si>
    <t>Edwards</t>
  </si>
  <si>
    <t>isaiah.e@email.com</t>
  </si>
  <si>
    <t>CUST048</t>
  </si>
  <si>
    <t>Aurora</t>
  </si>
  <si>
    <t>Collins</t>
  </si>
  <si>
    <t>aurora.c@email.com</t>
  </si>
  <si>
    <t>CUST049</t>
  </si>
  <si>
    <t>Miles</t>
  </si>
  <si>
    <t>Stewart</t>
  </si>
  <si>
    <t>miles.s@email.com</t>
  </si>
  <si>
    <t>CUST050</t>
  </si>
  <si>
    <t>Violet</t>
  </si>
  <si>
    <t>Morris</t>
  </si>
  <si>
    <t>violet.m@email.com</t>
  </si>
  <si>
    <t>Project - Dynamic Query</t>
  </si>
  <si>
    <t>Segment</t>
  </si>
  <si>
    <t>Homework :</t>
  </si>
  <si>
    <t>Project - Convert TH to EN Date</t>
  </si>
  <si>
    <t>Lookup Table</t>
  </si>
  <si>
    <t>TH Date</t>
  </si>
  <si>
    <t>Day</t>
  </si>
  <si>
    <t>Month</t>
  </si>
  <si>
    <t>Month_Number</t>
  </si>
  <si>
    <t>Year</t>
  </si>
  <si>
    <t>Year_EN</t>
  </si>
  <si>
    <t>EN Date</t>
  </si>
  <si>
    <t>ม.ค.</t>
  </si>
  <si>
    <t>12 ธ.ค. 2563</t>
  </si>
  <si>
    <t>ก.พ.</t>
  </si>
  <si>
    <t>25 พ.ย. 2561</t>
  </si>
  <si>
    <t>25</t>
  </si>
  <si>
    <t>2561</t>
  </si>
  <si>
    <t>มี.ค.</t>
  </si>
  <si>
    <t>09 ก.ย. 2562</t>
  </si>
  <si>
    <t>09</t>
  </si>
  <si>
    <t>2562</t>
  </si>
  <si>
    <t>เม.ย.</t>
  </si>
  <si>
    <t>07 ม.ค. 2560</t>
  </si>
  <si>
    <t>07</t>
  </si>
  <si>
    <t>2560</t>
  </si>
  <si>
    <t>พ.ค.</t>
  </si>
  <si>
    <t>15 เม.ย. 2563</t>
  </si>
  <si>
    <t>15</t>
  </si>
  <si>
    <t>2563</t>
  </si>
  <si>
    <t>มิ.ย.</t>
  </si>
  <si>
    <t>06 มิ.ย. 2563</t>
  </si>
  <si>
    <t>06</t>
  </si>
  <si>
    <t>ก.ค.</t>
  </si>
  <si>
    <t>ส.ค.</t>
  </si>
  <si>
    <t>ก.ย.</t>
  </si>
  <si>
    <t>ต.ค.</t>
  </si>
  <si>
    <t>พ.ย.</t>
  </si>
  <si>
    <t>ธ.ค.</t>
  </si>
  <si>
    <t>Project - ID Card Parser</t>
  </si>
  <si>
    <t>Customer Information</t>
  </si>
  <si>
    <t>ID</t>
  </si>
  <si>
    <t>Gender</t>
  </si>
  <si>
    <t>Firstname</t>
  </si>
  <si>
    <t>Lastname</t>
  </si>
  <si>
    <t>DOB</t>
  </si>
  <si>
    <t>Age</t>
  </si>
  <si>
    <t>Address</t>
  </si>
  <si>
    <t>Zipcode</t>
  </si>
  <si>
    <t>Expired Date</t>
  </si>
  <si>
    <t>Expired This Year</t>
  </si>
  <si>
    <t>ID 1-1078-00555-99-1 Mr. John David 
Date of Birth 20 Sep 1988
Address 67 Bangkok Thailand 10560
Expired Date 31 Dec 2023</t>
  </si>
  <si>
    <t>ID 3-5522-87666-87-2 Miss. Carry Anna 
Date of Birth 18 Jan 1995
Address 967 Tokyo Japan 10880
Expired Date 25 Apr 2025</t>
  </si>
  <si>
    <t>ID 1-2222-03874-23-6 Mr. Kevin Demio 
Date of Birth 14 Feb 1992
Address 7878 Washington United States 11155
Expired Date 31 Oct 2020</t>
  </si>
  <si>
    <t>ID 1-1078-00555-99-1 Mr. Stuart Lonely 
Date of Birth 20 Sep 1982
Address 554 Seoul Korea 89237
Expired Date 31 Mar 2024</t>
  </si>
  <si>
    <t>ID 1-1078-00555-99-1 Miss. Anya Tayloy 
Date of Birth 05 May 1985
Address 998 London United Kingdom 55387
Expired Date 15 Nov 2025</t>
  </si>
  <si>
    <t>Guideline (not solution)</t>
  </si>
  <si>
    <t>นักเรียนลองปรับใช้จากตรงนี้ได้นะครับ Regex สามารถเขียนได้หลายแบบเลย 🫡</t>
  </si>
  <si>
    <t>FORMULA FUNCTION IN HOMEWORK</t>
  </si>
  <si>
    <t>=REGEXEXTRACT(A2, "[0-9]-[0-9]{4}-[0-9]{5}-[0-9]{2}-[0-9]")</t>
  </si>
  <si>
    <t>=REGEXEXTRACT(A2, "M[a-z]+\.")</t>
  </si>
  <si>
    <t>=REGEXEXTRACT(A2, "M[a-z]+\. ([A-Za-z]+) [A-Za-z]+")</t>
  </si>
  <si>
    <t>=REGEXEXTRACT(A2, "M[a-z]+\. [A-Za-z]+ ([A-Za-z]+)")</t>
  </si>
  <si>
    <t>=REGEXEXTRACT(A2,"Date of Birth ([0-9]{2} [A-Za-z]+ [0-9]{4})")</t>
  </si>
  <si>
    <t>=DATEDIF(F2, TODAY(), "Y")</t>
  </si>
  <si>
    <t>=REGEXEXTRACT(A2,"Address ([0-9]+ [A-Za-z]+ [A-Za-z]+)")</t>
  </si>
  <si>
    <t>=TRIM(REGEXEXTRACT(A2," \d{5}"))</t>
  </si>
  <si>
    <t>=REGEXEXTRACT(A2, "Expired Date (\d{2} \w{3} \d{4})")</t>
  </si>
  <si>
    <t>=RIGHT(J2,4)="2020"</t>
  </si>
  <si>
    <t>Note - REGEX เขียนได้หลายแบบเลย ลองคุยกับ gemini เพิ่มเติมนะค้าบทุกคน ❤️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</si>
</sst>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"/>
    <numFmt numFmtId="166" formatCode="yyyy&quot;-&quot;mm&quot;-&quot;dd"/>
  </numFmts>
  <fonts count="7">
    <font>
      <sz val="10.0"/>
      <color rgb="FF000000"/>
      <name val="Arial"/>
      <scheme val="minor"/>
    </font>
    <font>
      <b/>
      <color theme="1"/>
      <name val="Work Sans"/>
    </font>
    <font>
      <color theme="1"/>
      <name val="Work Sans"/>
    </font>
    <font>
      <b/>
      <color rgb="FFFFFFFF"/>
      <name val="Work Sans"/>
    </font>
    <font>
      <color rgb="FFFF0000"/>
      <name val="Work Sans"/>
    </font>
    <font>
      <color theme="1"/>
      <name val="Prompt"/>
    </font>
    <font>
      <color rgb="FFF9CB9C"/>
      <name val="Work Sans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D666"/>
        <bgColor rgb="FFFFD666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2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0" fontId="4" numFmtId="0" xfId="0" applyFont="1"/>
    <xf borderId="0" fillId="0" fontId="1" numFmtId="0" xfId="0" applyFont="1"/>
    <xf borderId="0" fillId="0" fontId="2" numFmtId="0" xfId="0" applyAlignment="1" applyFont="1">
      <alignment horizontal="center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/>
    </xf>
    <xf borderId="0" fillId="6" fontId="2" numFmtId="166" xfId="0" applyAlignment="1" applyFill="1" applyFont="1" applyNumberFormat="1">
      <alignment horizontal="center"/>
    </xf>
    <xf borderId="0" fillId="3" fontId="1" numFmtId="0" xfId="0" applyFont="1"/>
    <xf borderId="0" fillId="7" fontId="3" numFmtId="0" xfId="0" applyAlignment="1" applyFill="1" applyFont="1">
      <alignment readingOrder="0" vertical="bottom"/>
    </xf>
    <xf borderId="0" fillId="7" fontId="3" numFmtId="0" xfId="0" applyAlignment="1" applyFont="1">
      <alignment vertical="bottom"/>
    </xf>
    <xf borderId="0" fillId="7" fontId="3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quotePrefix="1" borderId="0" fillId="0" fontId="6" numFmtId="0" xfId="0" applyAlignment="1" applyFont="1">
      <alignment readingOrder="0"/>
    </xf>
    <xf borderId="0" fillId="3" fontId="2" numFmtId="0" xfId="0" applyFont="1"/>
  </cellXfs>
  <cellStyles count="1">
    <cellStyle xfId="0" name="Normal" builtinId="0"/>
  </cellStyles>
  <dxfs count="5">
    <dxf>
      <font/>
      <fill>
        <patternFill patternType="solid">
          <fgColor rgb="FFFF9900"/>
          <bgColor rgb="FFFF9900"/>
        </patternFill>
      </fill>
      <border/>
    </dxf>
    <dxf>
      <font>
        <b/>
        <color rgb="FF356854"/>
      </font>
      <fill>
        <patternFill patternType="solid">
          <fgColor rgb="FFB6D7A8"/>
          <bgColor rgb="FFB6D7A8"/>
        </patternFill>
      </fill>
      <border/>
    </dxf>
    <dxf>
      <font>
        <b/>
        <color rgb="FFFF0000"/>
      </font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4" t="s">
        <v>11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6">
        <v>45306.0</v>
      </c>
      <c r="F4" s="5" t="s">
        <v>16</v>
      </c>
      <c r="G4" s="5" t="s">
        <v>17</v>
      </c>
      <c r="H4" s="5">
        <v>5.0</v>
      </c>
      <c r="I4" s="5">
        <v>450.75</v>
      </c>
      <c r="J4" s="6">
        <v>45881.0</v>
      </c>
      <c r="K4" s="5" t="b">
        <v>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18</v>
      </c>
      <c r="B5" s="5" t="s">
        <v>19</v>
      </c>
      <c r="C5" s="5" t="s">
        <v>20</v>
      </c>
      <c r="D5" s="5" t="s">
        <v>21</v>
      </c>
      <c r="E5" s="6">
        <v>45311.0</v>
      </c>
      <c r="F5" s="5" t="s">
        <v>22</v>
      </c>
      <c r="G5" s="5" t="s">
        <v>23</v>
      </c>
      <c r="H5" s="5">
        <v>2.0</v>
      </c>
      <c r="I5" s="5">
        <v>120.0</v>
      </c>
      <c r="J5" s="6">
        <v>45901.0</v>
      </c>
      <c r="K5" s="5" t="b">
        <v>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24</v>
      </c>
      <c r="B6" s="5" t="s">
        <v>25</v>
      </c>
      <c r="C6" s="5" t="s">
        <v>26</v>
      </c>
      <c r="D6" s="5" t="s">
        <v>27</v>
      </c>
      <c r="E6" s="6">
        <v>45323.0</v>
      </c>
      <c r="F6" s="5" t="s">
        <v>28</v>
      </c>
      <c r="G6" s="5" t="s">
        <v>17</v>
      </c>
      <c r="H6" s="5">
        <v>8.0</v>
      </c>
      <c r="I6" s="5">
        <v>890.5</v>
      </c>
      <c r="J6" s="6">
        <v>45863.0</v>
      </c>
      <c r="K6" s="5" t="b">
        <v>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29</v>
      </c>
      <c r="B7" s="5" t="s">
        <v>30</v>
      </c>
      <c r="C7" s="5" t="s">
        <v>31</v>
      </c>
      <c r="D7" s="5" t="s">
        <v>32</v>
      </c>
      <c r="E7" s="6">
        <v>45327.0</v>
      </c>
      <c r="F7" s="5" t="s">
        <v>16</v>
      </c>
      <c r="G7" s="5" t="s">
        <v>33</v>
      </c>
      <c r="H7" s="5">
        <v>12.0</v>
      </c>
      <c r="I7" s="5">
        <v>2500.0</v>
      </c>
      <c r="J7" s="6">
        <v>45889.0</v>
      </c>
      <c r="K7" s="5" t="b">
        <v>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34</v>
      </c>
      <c r="B8" s="5" t="s">
        <v>35</v>
      </c>
      <c r="C8" s="5" t="s">
        <v>36</v>
      </c>
      <c r="D8" s="5" t="s">
        <v>37</v>
      </c>
      <c r="E8" s="6">
        <v>45340.0</v>
      </c>
      <c r="F8" s="5" t="s">
        <v>4</v>
      </c>
      <c r="G8" s="5" t="s">
        <v>23</v>
      </c>
      <c r="H8" s="5">
        <v>1.0</v>
      </c>
      <c r="I8" s="5">
        <v>55.25</v>
      </c>
      <c r="J8" s="6">
        <v>45823.0</v>
      </c>
      <c r="K8" s="5" t="b">
        <v>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38</v>
      </c>
      <c r="B9" s="5" t="s">
        <v>39</v>
      </c>
      <c r="C9" s="5" t="s">
        <v>40</v>
      </c>
      <c r="D9" s="5" t="s">
        <v>41</v>
      </c>
      <c r="E9" s="6">
        <v>45354.0</v>
      </c>
      <c r="F9" s="5" t="s">
        <v>16</v>
      </c>
      <c r="G9" s="5" t="s">
        <v>17</v>
      </c>
      <c r="H9" s="5">
        <v>6.0</v>
      </c>
      <c r="I9" s="5">
        <v>530.0</v>
      </c>
      <c r="J9" s="6">
        <v>45905.0</v>
      </c>
      <c r="K9" s="5" t="b">
        <v>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42</v>
      </c>
      <c r="B10" s="5" t="s">
        <v>43</v>
      </c>
      <c r="C10" s="5" t="s">
        <v>44</v>
      </c>
      <c r="D10" s="5" t="s">
        <v>45</v>
      </c>
      <c r="E10" s="6">
        <v>45361.0</v>
      </c>
      <c r="F10" s="5" t="s">
        <v>22</v>
      </c>
      <c r="G10" s="5" t="s">
        <v>17</v>
      </c>
      <c r="H10" s="5">
        <v>4.0</v>
      </c>
      <c r="I10" s="5">
        <v>320.8</v>
      </c>
      <c r="J10" s="6">
        <v>45883.0</v>
      </c>
      <c r="K10" s="2" t="b">
        <v>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46</v>
      </c>
      <c r="B11" s="5" t="s">
        <v>47</v>
      </c>
      <c r="C11" s="5" t="s">
        <v>48</v>
      </c>
      <c r="D11" s="5" t="s">
        <v>49</v>
      </c>
      <c r="E11" s="6">
        <v>45373.0</v>
      </c>
      <c r="F11" s="5" t="s">
        <v>28</v>
      </c>
      <c r="G11" s="5" t="s">
        <v>33</v>
      </c>
      <c r="H11" s="5">
        <v>15.0</v>
      </c>
      <c r="I11" s="5">
        <v>3100.0</v>
      </c>
      <c r="J11" s="6">
        <v>45868.0</v>
      </c>
      <c r="K11" s="5" t="b">
        <v>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50</v>
      </c>
      <c r="B12" s="5" t="s">
        <v>51</v>
      </c>
      <c r="C12" s="5" t="s">
        <v>52</v>
      </c>
      <c r="D12" s="5" t="s">
        <v>53</v>
      </c>
      <c r="E12" s="6">
        <v>45387.0</v>
      </c>
      <c r="F12" s="5" t="s">
        <v>16</v>
      </c>
      <c r="G12" s="5" t="s">
        <v>23</v>
      </c>
      <c r="H12" s="5">
        <v>3.0</v>
      </c>
      <c r="I12" s="5">
        <v>150.45</v>
      </c>
      <c r="J12" s="6">
        <v>45911.0</v>
      </c>
      <c r="K12" s="2" t="b">
        <v>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54</v>
      </c>
      <c r="B13" s="5" t="s">
        <v>55</v>
      </c>
      <c r="C13" s="5" t="s">
        <v>56</v>
      </c>
      <c r="D13" s="5" t="s">
        <v>57</v>
      </c>
      <c r="E13" s="6">
        <v>45393.0</v>
      </c>
      <c r="F13" s="5" t="s">
        <v>4</v>
      </c>
      <c r="G13" s="5" t="s">
        <v>17</v>
      </c>
      <c r="H13" s="5">
        <v>7.0</v>
      </c>
      <c r="I13" s="5">
        <v>680.0</v>
      </c>
      <c r="J13" s="6">
        <v>45870.0</v>
      </c>
      <c r="K13" s="5" t="b">
        <v>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58</v>
      </c>
      <c r="B14" s="5" t="s">
        <v>59</v>
      </c>
      <c r="C14" s="5" t="s">
        <v>60</v>
      </c>
      <c r="D14" s="5" t="s">
        <v>61</v>
      </c>
      <c r="E14" s="6">
        <v>45401.0</v>
      </c>
      <c r="F14" s="5" t="s">
        <v>22</v>
      </c>
      <c r="G14" s="5" t="s">
        <v>23</v>
      </c>
      <c r="H14" s="5">
        <v>2.0</v>
      </c>
      <c r="I14" s="5">
        <v>99.99</v>
      </c>
      <c r="J14" s="6">
        <v>45856.0</v>
      </c>
      <c r="K14" s="2" t="b">
        <v>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62</v>
      </c>
      <c r="B15" s="5" t="s">
        <v>63</v>
      </c>
      <c r="C15" s="5" t="s">
        <v>64</v>
      </c>
      <c r="D15" s="5" t="s">
        <v>65</v>
      </c>
      <c r="E15" s="6">
        <v>45414.0</v>
      </c>
      <c r="F15" s="5" t="s">
        <v>16</v>
      </c>
      <c r="G15" s="5" t="s">
        <v>33</v>
      </c>
      <c r="H15" s="5">
        <v>10.0</v>
      </c>
      <c r="I15" s="5">
        <v>1800.7</v>
      </c>
      <c r="J15" s="6">
        <v>45903.0</v>
      </c>
      <c r="K15" s="2" t="b">
        <v>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66</v>
      </c>
      <c r="B16" s="5" t="s">
        <v>67</v>
      </c>
      <c r="C16" s="5" t="s">
        <v>68</v>
      </c>
      <c r="D16" s="5" t="s">
        <v>69</v>
      </c>
      <c r="E16" s="6">
        <v>45421.0</v>
      </c>
      <c r="F16" s="5" t="s">
        <v>28</v>
      </c>
      <c r="G16" s="5" t="s">
        <v>17</v>
      </c>
      <c r="H16" s="5">
        <v>5.0</v>
      </c>
      <c r="I16" s="5">
        <v>490.2</v>
      </c>
      <c r="J16" s="6">
        <v>45891.0</v>
      </c>
      <c r="K16" s="5" t="b">
        <v>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70</v>
      </c>
      <c r="B17" s="5" t="s">
        <v>71</v>
      </c>
      <c r="C17" s="5" t="s">
        <v>72</v>
      </c>
      <c r="D17" s="5" t="s">
        <v>73</v>
      </c>
      <c r="E17" s="6">
        <v>45433.0</v>
      </c>
      <c r="F17" s="5" t="s">
        <v>16</v>
      </c>
      <c r="G17" s="5" t="s">
        <v>23</v>
      </c>
      <c r="H17" s="5">
        <v>1.0</v>
      </c>
      <c r="I17" s="5">
        <v>75.0</v>
      </c>
      <c r="J17" s="6">
        <v>45915.0</v>
      </c>
      <c r="K17" s="2" t="b">
        <v>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74</v>
      </c>
      <c r="B18" s="5" t="s">
        <v>75</v>
      </c>
      <c r="C18" s="5" t="s">
        <v>76</v>
      </c>
      <c r="D18" s="5" t="s">
        <v>77</v>
      </c>
      <c r="E18" s="6">
        <v>45447.0</v>
      </c>
      <c r="F18" s="5" t="s">
        <v>4</v>
      </c>
      <c r="G18" s="5" t="s">
        <v>17</v>
      </c>
      <c r="H18" s="5">
        <v>9.0</v>
      </c>
      <c r="I18" s="5">
        <v>1100.0</v>
      </c>
      <c r="J18" s="6">
        <v>45897.0</v>
      </c>
      <c r="K18" s="2" t="b"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78</v>
      </c>
      <c r="B19" s="5" t="s">
        <v>79</v>
      </c>
      <c r="C19" s="5" t="s">
        <v>80</v>
      </c>
      <c r="D19" s="5" t="s">
        <v>81</v>
      </c>
      <c r="E19" s="6">
        <v>45455.0</v>
      </c>
      <c r="F19" s="5" t="s">
        <v>22</v>
      </c>
      <c r="G19" s="5" t="s">
        <v>33</v>
      </c>
      <c r="H19" s="5">
        <v>11.0</v>
      </c>
      <c r="I19" s="5">
        <v>2150.5</v>
      </c>
      <c r="J19" s="6">
        <v>45902.0</v>
      </c>
      <c r="K19" s="5" t="b">
        <v>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82</v>
      </c>
      <c r="B20" s="5" t="s">
        <v>83</v>
      </c>
      <c r="C20" s="5" t="s">
        <v>84</v>
      </c>
      <c r="D20" s="5" t="s">
        <v>85</v>
      </c>
      <c r="E20" s="6">
        <v>45461.0</v>
      </c>
      <c r="F20" s="5" t="s">
        <v>16</v>
      </c>
      <c r="G20" s="5" t="s">
        <v>17</v>
      </c>
      <c r="H20" s="5">
        <v>4.0</v>
      </c>
      <c r="I20" s="5">
        <v>380.0</v>
      </c>
      <c r="J20" s="6">
        <v>45859.0</v>
      </c>
      <c r="K20" s="2" t="b">
        <v>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86</v>
      </c>
      <c r="B21" s="5" t="s">
        <v>87</v>
      </c>
      <c r="C21" s="5" t="s">
        <v>88</v>
      </c>
      <c r="D21" s="5" t="s">
        <v>89</v>
      </c>
      <c r="E21" s="6">
        <v>45468.0</v>
      </c>
      <c r="F21" s="5" t="s">
        <v>28</v>
      </c>
      <c r="G21" s="5" t="s">
        <v>23</v>
      </c>
      <c r="H21" s="5">
        <v>3.0</v>
      </c>
      <c r="I21" s="5">
        <v>210.3</v>
      </c>
      <c r="J21" s="6">
        <v>45888.0</v>
      </c>
      <c r="K21" s="2" t="b">
        <v>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90</v>
      </c>
      <c r="B22" s="5" t="s">
        <v>91</v>
      </c>
      <c r="C22" s="5" t="s">
        <v>92</v>
      </c>
      <c r="D22" s="5" t="s">
        <v>93</v>
      </c>
      <c r="E22" s="6">
        <v>45474.0</v>
      </c>
      <c r="F22" s="5" t="s">
        <v>16</v>
      </c>
      <c r="G22" s="5" t="s">
        <v>17</v>
      </c>
      <c r="H22" s="5">
        <v>6.0</v>
      </c>
      <c r="I22" s="5">
        <v>555.5</v>
      </c>
      <c r="J22" s="6">
        <v>45908.0</v>
      </c>
      <c r="K22" s="5" t="b">
        <v>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94</v>
      </c>
      <c r="B23" s="5" t="s">
        <v>95</v>
      </c>
      <c r="C23" s="5" t="s">
        <v>96</v>
      </c>
      <c r="D23" s="5" t="s">
        <v>97</v>
      </c>
      <c r="E23" s="6">
        <v>45481.0</v>
      </c>
      <c r="F23" s="5" t="s">
        <v>4</v>
      </c>
      <c r="G23" s="5" t="s">
        <v>33</v>
      </c>
      <c r="H23" s="5">
        <v>18.0</v>
      </c>
      <c r="I23" s="5">
        <v>4500.0</v>
      </c>
      <c r="J23" s="6">
        <v>45880.0</v>
      </c>
      <c r="K23" s="2" t="b">
        <v>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98</v>
      </c>
      <c r="B24" s="5" t="s">
        <v>99</v>
      </c>
      <c r="C24" s="5" t="s">
        <v>100</v>
      </c>
      <c r="D24" s="5" t="s">
        <v>101</v>
      </c>
      <c r="E24" s="6">
        <v>45488.0</v>
      </c>
      <c r="F24" s="5" t="s">
        <v>22</v>
      </c>
      <c r="G24" s="5" t="s">
        <v>17</v>
      </c>
      <c r="H24" s="5">
        <v>3.0</v>
      </c>
      <c r="I24" s="5">
        <v>290.0</v>
      </c>
      <c r="J24" s="6">
        <v>45866.0</v>
      </c>
      <c r="K24" s="2" t="b">
        <v>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102</v>
      </c>
      <c r="B25" s="5" t="s">
        <v>103</v>
      </c>
      <c r="C25" s="5" t="s">
        <v>104</v>
      </c>
      <c r="D25" s="5" t="s">
        <v>105</v>
      </c>
      <c r="E25" s="6">
        <v>45496.0</v>
      </c>
      <c r="F25" s="5" t="s">
        <v>16</v>
      </c>
      <c r="G25" s="5" t="s">
        <v>23</v>
      </c>
      <c r="H25" s="5">
        <v>2.0</v>
      </c>
      <c r="I25" s="5">
        <v>85.75</v>
      </c>
      <c r="J25" s="6">
        <v>45914.0</v>
      </c>
      <c r="K25" s="2" t="b">
        <v>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106</v>
      </c>
      <c r="B26" s="5" t="s">
        <v>107</v>
      </c>
      <c r="C26" s="5" t="s">
        <v>108</v>
      </c>
      <c r="D26" s="5" t="s">
        <v>109</v>
      </c>
      <c r="E26" s="6">
        <v>45506.0</v>
      </c>
      <c r="F26" s="5" t="s">
        <v>28</v>
      </c>
      <c r="G26" s="5" t="s">
        <v>17</v>
      </c>
      <c r="H26" s="5">
        <v>7.0</v>
      </c>
      <c r="I26" s="5">
        <v>720.0</v>
      </c>
      <c r="J26" s="6">
        <v>45899.0</v>
      </c>
      <c r="K26" s="5" t="b">
        <v>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110</v>
      </c>
      <c r="B27" s="5" t="s">
        <v>111</v>
      </c>
      <c r="C27" s="5" t="s">
        <v>112</v>
      </c>
      <c r="D27" s="5" t="s">
        <v>113</v>
      </c>
      <c r="E27" s="6">
        <v>45513.0</v>
      </c>
      <c r="F27" s="5" t="s">
        <v>16</v>
      </c>
      <c r="G27" s="5" t="s">
        <v>33</v>
      </c>
      <c r="H27" s="5">
        <v>14.0</v>
      </c>
      <c r="I27" s="5">
        <v>2950.25</v>
      </c>
      <c r="J27" s="6">
        <v>45904.0</v>
      </c>
      <c r="K27" s="2" t="b">
        <v>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114</v>
      </c>
      <c r="B28" s="5" t="s">
        <v>115</v>
      </c>
      <c r="C28" s="5" t="s">
        <v>116</v>
      </c>
      <c r="D28" s="5" t="s">
        <v>117</v>
      </c>
      <c r="E28" s="6">
        <v>45520.0</v>
      </c>
      <c r="F28" s="5" t="s">
        <v>4</v>
      </c>
      <c r="G28" s="5" t="s">
        <v>23</v>
      </c>
      <c r="H28" s="5">
        <v>1.0</v>
      </c>
      <c r="I28" s="5">
        <v>49.5</v>
      </c>
      <c r="J28" s="6">
        <v>45853.0</v>
      </c>
      <c r="K28" s="2" t="b">
        <v>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118</v>
      </c>
      <c r="B29" s="5" t="s">
        <v>119</v>
      </c>
      <c r="C29" s="5" t="s">
        <v>120</v>
      </c>
      <c r="D29" s="5" t="s">
        <v>121</v>
      </c>
      <c r="E29" s="6">
        <v>45526.0</v>
      </c>
      <c r="F29" s="5" t="s">
        <v>22</v>
      </c>
      <c r="G29" s="5" t="s">
        <v>17</v>
      </c>
      <c r="H29" s="5">
        <v>5.0</v>
      </c>
      <c r="I29" s="5">
        <v>480.0</v>
      </c>
      <c r="J29" s="6">
        <v>45894.0</v>
      </c>
      <c r="K29" s="2" t="b">
        <v>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122</v>
      </c>
      <c r="B30" s="5" t="s">
        <v>123</v>
      </c>
      <c r="C30" s="5" t="s">
        <v>124</v>
      </c>
      <c r="D30" s="5" t="s">
        <v>125</v>
      </c>
      <c r="E30" s="6">
        <v>45536.0</v>
      </c>
      <c r="F30" s="5" t="s">
        <v>16</v>
      </c>
      <c r="G30" s="5" t="s">
        <v>17</v>
      </c>
      <c r="H30" s="5">
        <v>8.0</v>
      </c>
      <c r="I30" s="5">
        <v>950.6</v>
      </c>
      <c r="J30" s="6">
        <v>45912.0</v>
      </c>
      <c r="K30" s="5" t="b">
        <v>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126</v>
      </c>
      <c r="B31" s="5" t="s">
        <v>127</v>
      </c>
      <c r="C31" s="5" t="s">
        <v>128</v>
      </c>
      <c r="D31" s="5" t="s">
        <v>129</v>
      </c>
      <c r="E31" s="6">
        <v>45540.0</v>
      </c>
      <c r="F31" s="5" t="s">
        <v>28</v>
      </c>
      <c r="G31" s="5" t="s">
        <v>23</v>
      </c>
      <c r="H31" s="5">
        <v>2.0</v>
      </c>
      <c r="I31" s="5">
        <v>130.0</v>
      </c>
      <c r="J31" s="6">
        <v>45874.0</v>
      </c>
      <c r="K31" s="2" t="b">
        <v>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130</v>
      </c>
      <c r="B32" s="5" t="s">
        <v>131</v>
      </c>
      <c r="C32" s="5" t="s">
        <v>132</v>
      </c>
      <c r="D32" s="5" t="s">
        <v>133</v>
      </c>
      <c r="E32" s="6">
        <v>45545.0</v>
      </c>
      <c r="F32" s="5" t="s">
        <v>16</v>
      </c>
      <c r="G32" s="5" t="s">
        <v>33</v>
      </c>
      <c r="H32" s="5">
        <v>16.0</v>
      </c>
      <c r="I32" s="5">
        <v>3600.0</v>
      </c>
      <c r="J32" s="6">
        <v>45909.0</v>
      </c>
      <c r="K32" s="2" t="b">
        <v>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134</v>
      </c>
      <c r="B33" s="5" t="s">
        <v>135</v>
      </c>
      <c r="C33" s="5" t="s">
        <v>136</v>
      </c>
      <c r="D33" s="5" t="s">
        <v>137</v>
      </c>
      <c r="E33" s="6">
        <v>45549.0</v>
      </c>
      <c r="F33" s="5" t="s">
        <v>4</v>
      </c>
      <c r="G33" s="5" t="s">
        <v>17</v>
      </c>
      <c r="H33" s="5">
        <v>4.0</v>
      </c>
      <c r="I33" s="5">
        <v>410.25</v>
      </c>
      <c r="J33" s="6">
        <v>45887.0</v>
      </c>
      <c r="K33" s="2" t="b">
        <v>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138</v>
      </c>
      <c r="B34" s="5" t="s">
        <v>139</v>
      </c>
      <c r="C34" s="5" t="s">
        <v>140</v>
      </c>
      <c r="D34" s="5" t="s">
        <v>141</v>
      </c>
      <c r="E34" s="6">
        <v>45555.0</v>
      </c>
      <c r="F34" s="5" t="s">
        <v>16</v>
      </c>
      <c r="G34" s="5" t="s">
        <v>17</v>
      </c>
      <c r="H34" s="5">
        <v>6.0</v>
      </c>
      <c r="I34" s="5">
        <v>580.4</v>
      </c>
      <c r="J34" s="6">
        <v>45916.0</v>
      </c>
      <c r="K34" s="5" t="b">
        <v>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142</v>
      </c>
      <c r="B35" s="5" t="s">
        <v>143</v>
      </c>
      <c r="C35" s="5" t="s">
        <v>144</v>
      </c>
      <c r="D35" s="5" t="s">
        <v>145</v>
      </c>
      <c r="E35" s="6">
        <v>45560.0</v>
      </c>
      <c r="F35" s="5" t="s">
        <v>22</v>
      </c>
      <c r="G35" s="5" t="s">
        <v>23</v>
      </c>
      <c r="H35" s="5">
        <v>3.0</v>
      </c>
      <c r="I35" s="5">
        <v>195.0</v>
      </c>
      <c r="J35" s="6">
        <v>45890.0</v>
      </c>
      <c r="K35" s="2" t="b">
        <v>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146</v>
      </c>
      <c r="B36" s="5" t="s">
        <v>147</v>
      </c>
      <c r="C36" s="5" t="s">
        <v>148</v>
      </c>
      <c r="D36" s="5" t="s">
        <v>149</v>
      </c>
      <c r="E36" s="6">
        <v>45567.0</v>
      </c>
      <c r="F36" s="5" t="s">
        <v>28</v>
      </c>
      <c r="G36" s="5" t="s">
        <v>33</v>
      </c>
      <c r="H36" s="5">
        <v>20.0</v>
      </c>
      <c r="I36" s="5">
        <v>5200.75</v>
      </c>
      <c r="J36" s="6">
        <v>45910.0</v>
      </c>
      <c r="K36" s="2" t="b">
        <v>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150</v>
      </c>
      <c r="B37" s="5" t="s">
        <v>151</v>
      </c>
      <c r="C37" s="5" t="s">
        <v>152</v>
      </c>
      <c r="D37" s="5" t="s">
        <v>153</v>
      </c>
      <c r="E37" s="6">
        <v>45574.0</v>
      </c>
      <c r="F37" s="5" t="s">
        <v>4</v>
      </c>
      <c r="G37" s="5" t="s">
        <v>17</v>
      </c>
      <c r="H37" s="5">
        <v>7.0</v>
      </c>
      <c r="I37" s="5">
        <v>650.0</v>
      </c>
      <c r="J37" s="6">
        <v>45918.0</v>
      </c>
      <c r="K37" s="2" t="b">
        <v>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154</v>
      </c>
      <c r="B38" s="5" t="s">
        <v>155</v>
      </c>
      <c r="C38" s="5" t="s">
        <v>156</v>
      </c>
      <c r="D38" s="5" t="s">
        <v>157</v>
      </c>
      <c r="E38" s="6">
        <v>45580.0</v>
      </c>
      <c r="F38" s="5" t="s">
        <v>16</v>
      </c>
      <c r="G38" s="5" t="s">
        <v>23</v>
      </c>
      <c r="H38" s="5">
        <v>1.0</v>
      </c>
      <c r="I38" s="5">
        <v>89.95</v>
      </c>
      <c r="J38" s="6">
        <v>45867.0</v>
      </c>
      <c r="K38" s="5" t="b">
        <v>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158</v>
      </c>
      <c r="B39" s="5" t="s">
        <v>159</v>
      </c>
      <c r="C39" s="5" t="s">
        <v>160</v>
      </c>
      <c r="D39" s="5" t="s">
        <v>161</v>
      </c>
      <c r="E39" s="6">
        <v>45587.0</v>
      </c>
      <c r="F39" s="5" t="s">
        <v>16</v>
      </c>
      <c r="G39" s="5" t="s">
        <v>17</v>
      </c>
      <c r="H39" s="5">
        <v>5.0</v>
      </c>
      <c r="I39" s="5">
        <v>510.2</v>
      </c>
      <c r="J39" s="6">
        <v>45906.0</v>
      </c>
      <c r="K39" s="2" t="b">
        <v>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162</v>
      </c>
      <c r="B40" s="5" t="s">
        <v>163</v>
      </c>
      <c r="C40" s="5" t="s">
        <v>164</v>
      </c>
      <c r="D40" s="5" t="s">
        <v>165</v>
      </c>
      <c r="E40" s="6">
        <v>45597.0</v>
      </c>
      <c r="F40" s="5" t="s">
        <v>22</v>
      </c>
      <c r="G40" s="5" t="s">
        <v>33</v>
      </c>
      <c r="H40" s="5">
        <v>12.0</v>
      </c>
      <c r="I40" s="5">
        <v>2800.0</v>
      </c>
      <c r="J40" s="6">
        <v>45913.0</v>
      </c>
      <c r="K40" s="2" t="b">
        <v>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166</v>
      </c>
      <c r="B41" s="5" t="s">
        <v>167</v>
      </c>
      <c r="C41" s="5" t="s">
        <v>168</v>
      </c>
      <c r="D41" s="5" t="s">
        <v>169</v>
      </c>
      <c r="E41" s="6">
        <v>45604.0</v>
      </c>
      <c r="F41" s="5" t="s">
        <v>28</v>
      </c>
      <c r="G41" s="5" t="s">
        <v>23</v>
      </c>
      <c r="H41" s="5">
        <v>4.0</v>
      </c>
      <c r="I41" s="5">
        <v>250.6</v>
      </c>
      <c r="J41" s="6">
        <v>45893.0</v>
      </c>
      <c r="K41" s="2" t="b">
        <v>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170</v>
      </c>
      <c r="B42" s="5" t="s">
        <v>171</v>
      </c>
      <c r="C42" s="5" t="s">
        <v>172</v>
      </c>
      <c r="D42" s="5" t="s">
        <v>173</v>
      </c>
      <c r="E42" s="6">
        <v>45612.0</v>
      </c>
      <c r="F42" s="5" t="s">
        <v>16</v>
      </c>
      <c r="G42" s="5" t="s">
        <v>17</v>
      </c>
      <c r="H42" s="5">
        <v>9.0</v>
      </c>
      <c r="I42" s="5">
        <v>1200.0</v>
      </c>
      <c r="J42" s="6">
        <v>45917.0</v>
      </c>
      <c r="K42" s="2" t="b">
        <v>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174</v>
      </c>
      <c r="B43" s="5" t="s">
        <v>175</v>
      </c>
      <c r="C43" s="5" t="s">
        <v>104</v>
      </c>
      <c r="D43" s="5" t="s">
        <v>176</v>
      </c>
      <c r="E43" s="6">
        <v>45621.0</v>
      </c>
      <c r="F43" s="5" t="s">
        <v>4</v>
      </c>
      <c r="G43" s="5" t="s">
        <v>17</v>
      </c>
      <c r="H43" s="5">
        <v>8.0</v>
      </c>
      <c r="I43" s="5">
        <v>880.8</v>
      </c>
      <c r="J43" s="6">
        <v>45898.0</v>
      </c>
      <c r="K43" s="2" t="b">
        <v>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177</v>
      </c>
      <c r="B44" s="5" t="s">
        <v>178</v>
      </c>
      <c r="C44" s="5" t="s">
        <v>179</v>
      </c>
      <c r="D44" s="5" t="s">
        <v>180</v>
      </c>
      <c r="E44" s="6">
        <v>45629.0</v>
      </c>
      <c r="F44" s="5" t="s">
        <v>22</v>
      </c>
      <c r="G44" s="5" t="s">
        <v>23</v>
      </c>
      <c r="H44" s="5">
        <v>2.0</v>
      </c>
      <c r="I44" s="5">
        <v>115.5</v>
      </c>
      <c r="J44" s="6">
        <v>45907.0</v>
      </c>
      <c r="K44" s="5" t="b">
        <v>1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181</v>
      </c>
      <c r="B45" s="5" t="s">
        <v>182</v>
      </c>
      <c r="C45" s="5" t="s">
        <v>183</v>
      </c>
      <c r="D45" s="5" t="s">
        <v>184</v>
      </c>
      <c r="E45" s="6">
        <v>45637.0</v>
      </c>
      <c r="F45" s="5" t="s">
        <v>16</v>
      </c>
      <c r="G45" s="5" t="s">
        <v>33</v>
      </c>
      <c r="H45" s="5">
        <v>17.0</v>
      </c>
      <c r="I45" s="5">
        <v>3950.0</v>
      </c>
      <c r="J45" s="6">
        <v>45919.0</v>
      </c>
      <c r="K45" s="2" t="b">
        <v>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185</v>
      </c>
      <c r="B46" s="5" t="s">
        <v>186</v>
      </c>
      <c r="C46" s="5" t="s">
        <v>187</v>
      </c>
      <c r="D46" s="5" t="s">
        <v>188</v>
      </c>
      <c r="E46" s="6">
        <v>45646.0</v>
      </c>
      <c r="F46" s="5" t="s">
        <v>28</v>
      </c>
      <c r="G46" s="5" t="s">
        <v>17</v>
      </c>
      <c r="H46" s="5">
        <v>6.0</v>
      </c>
      <c r="I46" s="5">
        <v>610.75</v>
      </c>
      <c r="J46" s="6">
        <v>45895.0</v>
      </c>
      <c r="K46" s="2" t="b">
        <v>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189</v>
      </c>
      <c r="B47" s="5" t="s">
        <v>190</v>
      </c>
      <c r="C47" s="5" t="s">
        <v>191</v>
      </c>
      <c r="D47" s="5" t="s">
        <v>192</v>
      </c>
      <c r="E47" s="6">
        <v>45661.0</v>
      </c>
      <c r="F47" s="5" t="s">
        <v>16</v>
      </c>
      <c r="G47" s="5" t="s">
        <v>23</v>
      </c>
      <c r="H47" s="5">
        <v>3.0</v>
      </c>
      <c r="I47" s="5">
        <v>175.0</v>
      </c>
      <c r="J47" s="6">
        <v>45911.0</v>
      </c>
      <c r="K47" s="2" t="b">
        <v>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193</v>
      </c>
      <c r="B48" s="5" t="s">
        <v>194</v>
      </c>
      <c r="C48" s="5" t="s">
        <v>195</v>
      </c>
      <c r="D48" s="5" t="s">
        <v>196</v>
      </c>
      <c r="E48" s="6">
        <v>45669.0</v>
      </c>
      <c r="F48" s="5" t="s">
        <v>4</v>
      </c>
      <c r="G48" s="5" t="s">
        <v>17</v>
      </c>
      <c r="H48" s="5">
        <v>10.0</v>
      </c>
      <c r="I48" s="5">
        <v>1350.25</v>
      </c>
      <c r="J48" s="6">
        <v>45914.0</v>
      </c>
      <c r="K48" s="2" t="b">
        <v>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197</v>
      </c>
      <c r="B49" s="5" t="s">
        <v>198</v>
      </c>
      <c r="C49" s="5" t="s">
        <v>199</v>
      </c>
      <c r="D49" s="5" t="s">
        <v>200</v>
      </c>
      <c r="E49" s="6">
        <v>45678.0</v>
      </c>
      <c r="F49" s="5" t="s">
        <v>22</v>
      </c>
      <c r="G49" s="5" t="s">
        <v>33</v>
      </c>
      <c r="H49" s="5">
        <v>13.0</v>
      </c>
      <c r="I49" s="5">
        <v>2900.5</v>
      </c>
      <c r="J49" s="6">
        <v>45900.0</v>
      </c>
      <c r="K49" s="5" t="b">
        <v>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201</v>
      </c>
      <c r="B50" s="5" t="s">
        <v>202</v>
      </c>
      <c r="C50" s="5" t="s">
        <v>203</v>
      </c>
      <c r="D50" s="5" t="s">
        <v>204</v>
      </c>
      <c r="E50" s="6">
        <v>45685.0</v>
      </c>
      <c r="F50" s="5" t="s">
        <v>16</v>
      </c>
      <c r="G50" s="5" t="s">
        <v>17</v>
      </c>
      <c r="H50" s="5">
        <v>4.0</v>
      </c>
      <c r="I50" s="5">
        <v>360.0</v>
      </c>
      <c r="J50" s="6">
        <v>45909.0</v>
      </c>
      <c r="K50" s="2" t="b">
        <v>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205</v>
      </c>
      <c r="B51" s="5" t="s">
        <v>206</v>
      </c>
      <c r="C51" s="5" t="s">
        <v>207</v>
      </c>
      <c r="D51" s="5" t="s">
        <v>208</v>
      </c>
      <c r="E51" s="6">
        <v>45693.0</v>
      </c>
      <c r="F51" s="5" t="s">
        <v>28</v>
      </c>
      <c r="G51" s="5" t="s">
        <v>23</v>
      </c>
      <c r="H51" s="5">
        <v>2.0</v>
      </c>
      <c r="I51" s="5">
        <v>95.2</v>
      </c>
      <c r="J51" s="6">
        <v>45885.0</v>
      </c>
      <c r="K51" s="2" t="b">
        <v>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209</v>
      </c>
      <c r="B52" s="5" t="s">
        <v>210</v>
      </c>
      <c r="C52" s="5" t="s">
        <v>211</v>
      </c>
      <c r="D52" s="5" t="s">
        <v>212</v>
      </c>
      <c r="E52" s="6">
        <v>45700.0</v>
      </c>
      <c r="F52" s="5" t="s">
        <v>16</v>
      </c>
      <c r="G52" s="5" t="s">
        <v>17</v>
      </c>
      <c r="H52" s="5">
        <v>7.0</v>
      </c>
      <c r="I52" s="5">
        <v>780.9</v>
      </c>
      <c r="J52" s="6">
        <v>45915.0</v>
      </c>
      <c r="K52" s="2" t="b">
        <v>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213</v>
      </c>
      <c r="B53" s="5" t="s">
        <v>214</v>
      </c>
      <c r="C53" s="5" t="s">
        <v>215</v>
      </c>
      <c r="D53" s="5" t="s">
        <v>216</v>
      </c>
      <c r="E53" s="6">
        <v>45708.0</v>
      </c>
      <c r="F53" s="5" t="s">
        <v>4</v>
      </c>
      <c r="G53" s="5" t="s">
        <v>33</v>
      </c>
      <c r="H53" s="5">
        <v>19.0</v>
      </c>
      <c r="I53" s="5">
        <v>4850.0</v>
      </c>
      <c r="J53" s="6">
        <v>45912.0</v>
      </c>
      <c r="K53" s="2" t="b">
        <v>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conditionalFormatting sqref="A4:K53">
    <cfRule type="expression" dxfId="0" priority="1">
      <formula>$K4=TRUE</formula>
    </cfRule>
  </conditionalFormatting>
  <conditionalFormatting sqref="H4:H53">
    <cfRule type="cellIs" dxfId="1" priority="2" operator="greaterThanOrEqual">
      <formula>15</formula>
    </cfRule>
  </conditionalFormatting>
  <conditionalFormatting sqref="H4:H53">
    <cfRule type="cellIs" dxfId="2" priority="3" operator="lessThanOrEqual">
      <formula>3</formula>
    </cfRule>
  </conditionalFormatting>
  <conditionalFormatting sqref="I4:I53">
    <cfRule type="colorScale" priority="4">
      <colorScale>
        <cfvo type="min"/>
        <cfvo type="max"/>
        <color rgb="FFFFFFFF"/>
        <color rgb="FFFFD666"/>
      </colorScale>
    </cfRule>
  </conditionalFormatting>
  <conditionalFormatting sqref="F4:F53">
    <cfRule type="cellIs" dxfId="3" priority="5" operator="equal">
      <formula>"Web"</formula>
    </cfRule>
  </conditionalFormatting>
  <conditionalFormatting sqref="B4:B53">
    <cfRule type="expression" dxfId="4" priority="6">
      <formula>F4="Web"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7" max="17" width="17.38"/>
  </cols>
  <sheetData>
    <row r="1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1" t="s">
        <v>6</v>
      </c>
      <c r="M1" s="5" t="s">
        <v>16</v>
      </c>
      <c r="N1" s="1" t="s">
        <v>218</v>
      </c>
      <c r="O1" s="5" t="s">
        <v>17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7" t="s">
        <v>219</v>
      </c>
      <c r="M2" s="8" t="str">
        <f>FORMULATEXT(L3)</f>
        <v>=QUERY('Project Dynamic Query'!CUSTOMER_DATA, "SELECT B, C, D, F, G WHERE F = '"&amp;M1&amp;"' AND G = '"&amp;O1&amp;"'")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2"/>
      <c r="L3" s="9" t="str">
        <f>IFERROR(__xludf.DUMMYFUNCTION("QUERY('Project Dynamic Query'!CUSTOMER_DATA, ""SELECT B, C, D, F, G WHERE F = '""&amp;M1&amp;""' AND G = '""&amp;O1&amp;""'"")"),"FirstName")</f>
        <v>FirstName</v>
      </c>
      <c r="M3" s="9" t="str">
        <f>IFERROR(__xludf.DUMMYFUNCTION("""COMPUTED_VALUE"""),"LastName")</f>
        <v>LastName</v>
      </c>
      <c r="N3" s="9" t="str">
        <f>IFERROR(__xludf.DUMMYFUNCTION("""COMPUTED_VALUE"""),"Email")</f>
        <v>Email</v>
      </c>
      <c r="O3" s="9" t="str">
        <f>IFERROR(__xludf.DUMMYFUNCTION("""COMPUTED_VALUE"""),"LeadSource")</f>
        <v>LeadSource</v>
      </c>
      <c r="P3" s="9" t="str">
        <f>IFERROR(__xludf.DUMMYFUNCTION("""COMPUTED_VALUE"""),"CustomerSegment")</f>
        <v>CustomerSegment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6">
        <v>45306.0</v>
      </c>
      <c r="F4" s="5" t="s">
        <v>16</v>
      </c>
      <c r="G4" s="5" t="s">
        <v>17</v>
      </c>
      <c r="H4" s="5">
        <v>5.0</v>
      </c>
      <c r="I4" s="5">
        <v>450.75</v>
      </c>
      <c r="J4" s="6">
        <v>45881.0</v>
      </c>
      <c r="K4" s="2"/>
      <c r="L4" s="2" t="str">
        <f>IFERROR(__xludf.DUMMYFUNCTION("""COMPUTED_VALUE"""),"Liam")</f>
        <v>Liam</v>
      </c>
      <c r="M4" s="2" t="str">
        <f>IFERROR(__xludf.DUMMYFUNCTION("""COMPUTED_VALUE"""),"Smith")</f>
        <v>Smith</v>
      </c>
      <c r="N4" s="2" t="str">
        <f>IFERROR(__xludf.DUMMYFUNCTION("""COMPUTED_VALUE"""),"liam.s@email.com")</f>
        <v>liam.s@email.com</v>
      </c>
      <c r="O4" s="2" t="str">
        <f>IFERROR(__xludf.DUMMYFUNCTION("""COMPUTED_VALUE"""),"Web")</f>
        <v>Web</v>
      </c>
      <c r="P4" s="2" t="str">
        <f>IFERROR(__xludf.DUMMYFUNCTION("""COMPUTED_VALUE"""),"SMB")</f>
        <v>SMB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18</v>
      </c>
      <c r="B5" s="5" t="s">
        <v>19</v>
      </c>
      <c r="C5" s="5" t="s">
        <v>20</v>
      </c>
      <c r="D5" s="5" t="s">
        <v>21</v>
      </c>
      <c r="E5" s="6">
        <v>45311.0</v>
      </c>
      <c r="F5" s="5" t="s">
        <v>22</v>
      </c>
      <c r="G5" s="5" t="s">
        <v>23</v>
      </c>
      <c r="H5" s="5">
        <v>2.0</v>
      </c>
      <c r="I5" s="5">
        <v>120.0</v>
      </c>
      <c r="J5" s="6">
        <v>45901.0</v>
      </c>
      <c r="K5" s="2"/>
      <c r="L5" s="2" t="str">
        <f>IFERROR(__xludf.DUMMYFUNCTION("""COMPUTED_VALUE"""),"Ava")</f>
        <v>Ava</v>
      </c>
      <c r="M5" s="2" t="str">
        <f>IFERROR(__xludf.DUMMYFUNCTION("""COMPUTED_VALUE"""),"Garcia")</f>
        <v>Garcia</v>
      </c>
      <c r="N5" s="2" t="str">
        <f>IFERROR(__xludf.DUMMYFUNCTION("""COMPUTED_VALUE"""),"ava.g@email.com")</f>
        <v>ava.g@email.com</v>
      </c>
      <c r="O5" s="2" t="str">
        <f>IFERROR(__xludf.DUMMYFUNCTION("""COMPUTED_VALUE"""),"Web")</f>
        <v>Web</v>
      </c>
      <c r="P5" s="2" t="str">
        <f>IFERROR(__xludf.DUMMYFUNCTION("""COMPUTED_VALUE"""),"SMB")</f>
        <v>SMB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24</v>
      </c>
      <c r="B6" s="5" t="s">
        <v>25</v>
      </c>
      <c r="C6" s="5" t="s">
        <v>26</v>
      </c>
      <c r="D6" s="5" t="s">
        <v>27</v>
      </c>
      <c r="E6" s="6">
        <v>45323.0</v>
      </c>
      <c r="F6" s="5" t="s">
        <v>28</v>
      </c>
      <c r="G6" s="5" t="s">
        <v>17</v>
      </c>
      <c r="H6" s="5">
        <v>8.0</v>
      </c>
      <c r="I6" s="5">
        <v>890.5</v>
      </c>
      <c r="J6" s="6">
        <v>45863.0</v>
      </c>
      <c r="K6" s="2"/>
      <c r="L6" s="2" t="str">
        <f>IFERROR(__xludf.DUMMYFUNCTION("""COMPUTED_VALUE"""),"Henry")</f>
        <v>Henry</v>
      </c>
      <c r="M6" s="2" t="str">
        <f>IFERROR(__xludf.DUMMYFUNCTION("""COMPUTED_VALUE"""),"Taylor")</f>
        <v>Taylor</v>
      </c>
      <c r="N6" s="2" t="str">
        <f>IFERROR(__xludf.DUMMYFUNCTION("""COMPUTED_VALUE"""),"henry.t@email.com")</f>
        <v>henry.t@email.com</v>
      </c>
      <c r="O6" s="2" t="str">
        <f>IFERROR(__xludf.DUMMYFUNCTION("""COMPUTED_VALUE"""),"Web")</f>
        <v>Web</v>
      </c>
      <c r="P6" s="2" t="str">
        <f>IFERROR(__xludf.DUMMYFUNCTION("""COMPUTED_VALUE"""),"SMB")</f>
        <v>SMB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29</v>
      </c>
      <c r="B7" s="5" t="s">
        <v>30</v>
      </c>
      <c r="C7" s="5" t="s">
        <v>31</v>
      </c>
      <c r="D7" s="5" t="s">
        <v>32</v>
      </c>
      <c r="E7" s="6">
        <v>45327.0</v>
      </c>
      <c r="F7" s="5" t="s">
        <v>16</v>
      </c>
      <c r="G7" s="5" t="s">
        <v>33</v>
      </c>
      <c r="H7" s="5">
        <v>12.0</v>
      </c>
      <c r="I7" s="5">
        <v>2500.0</v>
      </c>
      <c r="J7" s="6">
        <v>45889.0</v>
      </c>
      <c r="K7" s="2"/>
      <c r="L7" s="2" t="str">
        <f>IFERROR(__xludf.DUMMYFUNCTION("""COMPUTED_VALUE"""),"Alexander")</f>
        <v>Alexander</v>
      </c>
      <c r="M7" s="2" t="str">
        <f>IFERROR(__xludf.DUMMYFUNCTION("""COMPUTED_VALUE"""),"Jackson")</f>
        <v>Jackson</v>
      </c>
      <c r="N7" s="2" t="str">
        <f>IFERROR(__xludf.DUMMYFUNCTION("""COMPUTED_VALUE"""),"alexander.j@email.com")</f>
        <v>alexander.j@email.com</v>
      </c>
      <c r="O7" s="2" t="str">
        <f>IFERROR(__xludf.DUMMYFUNCTION("""COMPUTED_VALUE"""),"Web")</f>
        <v>Web</v>
      </c>
      <c r="P7" s="2" t="str">
        <f>IFERROR(__xludf.DUMMYFUNCTION("""COMPUTED_VALUE"""),"SMB")</f>
        <v>SMB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34</v>
      </c>
      <c r="B8" s="5" t="s">
        <v>35</v>
      </c>
      <c r="C8" s="5" t="s">
        <v>36</v>
      </c>
      <c r="D8" s="5" t="s">
        <v>37</v>
      </c>
      <c r="E8" s="6">
        <v>45340.0</v>
      </c>
      <c r="F8" s="5" t="s">
        <v>4</v>
      </c>
      <c r="G8" s="5" t="s">
        <v>23</v>
      </c>
      <c r="H8" s="5">
        <v>1.0</v>
      </c>
      <c r="I8" s="5">
        <v>55.25</v>
      </c>
      <c r="J8" s="6">
        <v>45823.0</v>
      </c>
      <c r="K8" s="2"/>
      <c r="L8" s="2" t="str">
        <f>IFERROR(__xludf.DUMMYFUNCTION("""COMPUTED_VALUE"""),"Theodore")</f>
        <v>Theodore</v>
      </c>
      <c r="M8" s="2" t="str">
        <f>IFERROR(__xludf.DUMMYFUNCTION("""COMPUTED_VALUE"""),"Clark")</f>
        <v>Clark</v>
      </c>
      <c r="N8" s="2" t="str">
        <f>IFERROR(__xludf.DUMMYFUNCTION("""COMPUTED_VALUE"""),"theodore.c@email.com")</f>
        <v>theodore.c@email.com</v>
      </c>
      <c r="O8" s="2" t="str">
        <f>IFERROR(__xludf.DUMMYFUNCTION("""COMPUTED_VALUE"""),"Web")</f>
        <v>Web</v>
      </c>
      <c r="P8" s="2" t="str">
        <f>IFERROR(__xludf.DUMMYFUNCTION("""COMPUTED_VALUE"""),"SMB")</f>
        <v>SMB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38</v>
      </c>
      <c r="B9" s="5" t="s">
        <v>39</v>
      </c>
      <c r="C9" s="5" t="s">
        <v>40</v>
      </c>
      <c r="D9" s="5" t="s">
        <v>41</v>
      </c>
      <c r="E9" s="6">
        <v>45354.0</v>
      </c>
      <c r="F9" s="5" t="s">
        <v>16</v>
      </c>
      <c r="G9" s="5" t="s">
        <v>17</v>
      </c>
      <c r="H9" s="5">
        <v>6.0</v>
      </c>
      <c r="I9" s="5">
        <v>530.0</v>
      </c>
      <c r="J9" s="6">
        <v>45905.0</v>
      </c>
      <c r="K9" s="2"/>
      <c r="L9" s="2" t="str">
        <f>IFERROR(__xludf.DUMMYFUNCTION("""COMPUTED_VALUE"""),"Daniel")</f>
        <v>Daniel</v>
      </c>
      <c r="M9" s="2" t="str">
        <f>IFERROR(__xludf.DUMMYFUNCTION("""COMPUTED_VALUE"""),"Wright")</f>
        <v>Wright</v>
      </c>
      <c r="N9" s="2" t="str">
        <f>IFERROR(__xludf.DUMMYFUNCTION("""COMPUTED_VALUE"""),"daniel.w@email.com")</f>
        <v>daniel.w@email.com</v>
      </c>
      <c r="O9" s="2" t="str">
        <f>IFERROR(__xludf.DUMMYFUNCTION("""COMPUTED_VALUE"""),"Web")</f>
        <v>Web</v>
      </c>
      <c r="P9" s="2" t="str">
        <f>IFERROR(__xludf.DUMMYFUNCTION("""COMPUTED_VALUE"""),"SMB")</f>
        <v>SMB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42</v>
      </c>
      <c r="B10" s="5" t="s">
        <v>43</v>
      </c>
      <c r="C10" s="5" t="s">
        <v>44</v>
      </c>
      <c r="D10" s="5" t="s">
        <v>45</v>
      </c>
      <c r="E10" s="6">
        <v>45361.0</v>
      </c>
      <c r="F10" s="5" t="s">
        <v>22</v>
      </c>
      <c r="G10" s="5" t="s">
        <v>17</v>
      </c>
      <c r="H10" s="5">
        <v>4.0</v>
      </c>
      <c r="I10" s="5">
        <v>320.8</v>
      </c>
      <c r="J10" s="6">
        <v>45883.0</v>
      </c>
      <c r="K10" s="2"/>
      <c r="L10" s="2" t="str">
        <f>IFERROR(__xludf.DUMMYFUNCTION("""COMPUTED_VALUE"""),"Grace")</f>
        <v>Grace</v>
      </c>
      <c r="M10" s="2" t="str">
        <f>IFERROR(__xludf.DUMMYFUNCTION("""COMPUTED_VALUE"""),"Baker")</f>
        <v>Baker</v>
      </c>
      <c r="N10" s="2" t="str">
        <f>IFERROR(__xludf.DUMMYFUNCTION("""COMPUTED_VALUE"""),"grace.b@email.com")</f>
        <v>grace.b@email.com</v>
      </c>
      <c r="O10" s="2" t="str">
        <f>IFERROR(__xludf.DUMMYFUNCTION("""COMPUTED_VALUE"""),"Web")</f>
        <v>Web</v>
      </c>
      <c r="P10" s="2" t="str">
        <f>IFERROR(__xludf.DUMMYFUNCTION("""COMPUTED_VALUE"""),"SMB")</f>
        <v>SMB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46</v>
      </c>
      <c r="B11" s="5" t="s">
        <v>47</v>
      </c>
      <c r="C11" s="5" t="s">
        <v>48</v>
      </c>
      <c r="D11" s="5" t="s">
        <v>49</v>
      </c>
      <c r="E11" s="6">
        <v>45373.0</v>
      </c>
      <c r="F11" s="5" t="s">
        <v>28</v>
      </c>
      <c r="G11" s="5" t="s">
        <v>33</v>
      </c>
      <c r="H11" s="5">
        <v>15.0</v>
      </c>
      <c r="I11" s="5">
        <v>3100.0</v>
      </c>
      <c r="J11" s="6">
        <v>45868.0</v>
      </c>
      <c r="K11" s="2"/>
      <c r="L11" s="2" t="str">
        <f>IFERROR(__xludf.DUMMYFUNCTION("""COMPUTED_VALUE"""),"Wyatt")</f>
        <v>Wyatt</v>
      </c>
      <c r="M11" s="2" t="str">
        <f>IFERROR(__xludf.DUMMYFUNCTION("""COMPUTED_VALUE"""),"Mitchell")</f>
        <v>Mitchell</v>
      </c>
      <c r="N11" s="2" t="str">
        <f>IFERROR(__xludf.DUMMYFUNCTION("""COMPUTED_VALUE"""),"wyatt.m@email.com")</f>
        <v>wyatt.m@email.com</v>
      </c>
      <c r="O11" s="2" t="str">
        <f>IFERROR(__xludf.DUMMYFUNCTION("""COMPUTED_VALUE"""),"Web")</f>
        <v>Web</v>
      </c>
      <c r="P11" s="2" t="str">
        <f>IFERROR(__xludf.DUMMYFUNCTION("""COMPUTED_VALUE"""),"SMB")</f>
        <v>SMB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50</v>
      </c>
      <c r="B12" s="5" t="s">
        <v>51</v>
      </c>
      <c r="C12" s="5" t="s">
        <v>52</v>
      </c>
      <c r="D12" s="5" t="s">
        <v>53</v>
      </c>
      <c r="E12" s="6">
        <v>45387.0</v>
      </c>
      <c r="F12" s="5" t="s">
        <v>16</v>
      </c>
      <c r="G12" s="5" t="s">
        <v>23</v>
      </c>
      <c r="H12" s="5">
        <v>3.0</v>
      </c>
      <c r="I12" s="5">
        <v>150.45</v>
      </c>
      <c r="J12" s="6">
        <v>45911.0</v>
      </c>
      <c r="K12" s="2"/>
      <c r="L12" s="2" t="str">
        <f>IFERROR(__xludf.DUMMYFUNCTION("""COMPUTED_VALUE"""),"Isaiah")</f>
        <v>Isaiah</v>
      </c>
      <c r="M12" s="2" t="str">
        <f>IFERROR(__xludf.DUMMYFUNCTION("""COMPUTED_VALUE"""),"Edwards")</f>
        <v>Edwards</v>
      </c>
      <c r="N12" s="2" t="str">
        <f>IFERROR(__xludf.DUMMYFUNCTION("""COMPUTED_VALUE"""),"isaiah.e@email.com")</f>
        <v>isaiah.e@email.com</v>
      </c>
      <c r="O12" s="2" t="str">
        <f>IFERROR(__xludf.DUMMYFUNCTION("""COMPUTED_VALUE"""),"Web")</f>
        <v>Web</v>
      </c>
      <c r="P12" s="2" t="str">
        <f>IFERROR(__xludf.DUMMYFUNCTION("""COMPUTED_VALUE"""),"SMB")</f>
        <v>SMB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54</v>
      </c>
      <c r="B13" s="5" t="s">
        <v>55</v>
      </c>
      <c r="C13" s="5" t="s">
        <v>56</v>
      </c>
      <c r="D13" s="5" t="s">
        <v>57</v>
      </c>
      <c r="E13" s="6">
        <v>45393.0</v>
      </c>
      <c r="F13" s="5" t="s">
        <v>4</v>
      </c>
      <c r="G13" s="5" t="s">
        <v>17</v>
      </c>
      <c r="H13" s="5">
        <v>7.0</v>
      </c>
      <c r="I13" s="5">
        <v>680.0</v>
      </c>
      <c r="J13" s="6">
        <v>45870.0</v>
      </c>
      <c r="K13" s="2"/>
      <c r="L13" s="2" t="str">
        <f>IFERROR(__xludf.DUMMYFUNCTION("""COMPUTED_VALUE"""),"Miles")</f>
        <v>Miles</v>
      </c>
      <c r="M13" s="2" t="str">
        <f>IFERROR(__xludf.DUMMYFUNCTION("""COMPUTED_VALUE"""),"Stewart")</f>
        <v>Stewart</v>
      </c>
      <c r="N13" s="2" t="str">
        <f>IFERROR(__xludf.DUMMYFUNCTION("""COMPUTED_VALUE"""),"miles.s@email.com")</f>
        <v>miles.s@email.com</v>
      </c>
      <c r="O13" s="2" t="str">
        <f>IFERROR(__xludf.DUMMYFUNCTION("""COMPUTED_VALUE"""),"Web")</f>
        <v>Web</v>
      </c>
      <c r="P13" s="2" t="str">
        <f>IFERROR(__xludf.DUMMYFUNCTION("""COMPUTED_VALUE"""),"SMB")</f>
        <v>SMB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58</v>
      </c>
      <c r="B14" s="5" t="s">
        <v>59</v>
      </c>
      <c r="C14" s="5" t="s">
        <v>60</v>
      </c>
      <c r="D14" s="5" t="s">
        <v>61</v>
      </c>
      <c r="E14" s="6">
        <v>45401.0</v>
      </c>
      <c r="F14" s="5" t="s">
        <v>22</v>
      </c>
      <c r="G14" s="5" t="s">
        <v>23</v>
      </c>
      <c r="H14" s="5">
        <v>2.0</v>
      </c>
      <c r="I14" s="5">
        <v>99.99</v>
      </c>
      <c r="J14" s="6">
        <v>45856.0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62</v>
      </c>
      <c r="B15" s="5" t="s">
        <v>63</v>
      </c>
      <c r="C15" s="5" t="s">
        <v>64</v>
      </c>
      <c r="D15" s="5" t="s">
        <v>65</v>
      </c>
      <c r="E15" s="6">
        <v>45414.0</v>
      </c>
      <c r="F15" s="5" t="s">
        <v>16</v>
      </c>
      <c r="G15" s="5" t="s">
        <v>33</v>
      </c>
      <c r="H15" s="5">
        <v>10.0</v>
      </c>
      <c r="I15" s="5">
        <v>1800.7</v>
      </c>
      <c r="J15" s="6">
        <v>45903.0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66</v>
      </c>
      <c r="B16" s="5" t="s">
        <v>67</v>
      </c>
      <c r="C16" s="5" t="s">
        <v>68</v>
      </c>
      <c r="D16" s="5" t="s">
        <v>69</v>
      </c>
      <c r="E16" s="6">
        <v>45421.0</v>
      </c>
      <c r="F16" s="5" t="s">
        <v>28</v>
      </c>
      <c r="G16" s="5" t="s">
        <v>17</v>
      </c>
      <c r="H16" s="5">
        <v>5.0</v>
      </c>
      <c r="I16" s="5">
        <v>490.2</v>
      </c>
      <c r="J16" s="6">
        <v>45891.0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70</v>
      </c>
      <c r="B17" s="5" t="s">
        <v>71</v>
      </c>
      <c r="C17" s="5" t="s">
        <v>72</v>
      </c>
      <c r="D17" s="5" t="s">
        <v>73</v>
      </c>
      <c r="E17" s="6">
        <v>45433.0</v>
      </c>
      <c r="F17" s="5" t="s">
        <v>16</v>
      </c>
      <c r="G17" s="5" t="s">
        <v>23</v>
      </c>
      <c r="H17" s="5">
        <v>1.0</v>
      </c>
      <c r="I17" s="5">
        <v>75.0</v>
      </c>
      <c r="J17" s="6">
        <v>45915.0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74</v>
      </c>
      <c r="B18" s="5" t="s">
        <v>75</v>
      </c>
      <c r="C18" s="5" t="s">
        <v>76</v>
      </c>
      <c r="D18" s="5" t="s">
        <v>77</v>
      </c>
      <c r="E18" s="6">
        <v>45447.0</v>
      </c>
      <c r="F18" s="5" t="s">
        <v>4</v>
      </c>
      <c r="G18" s="5" t="s">
        <v>17</v>
      </c>
      <c r="H18" s="5">
        <v>9.0</v>
      </c>
      <c r="I18" s="5">
        <v>1100.0</v>
      </c>
      <c r="J18" s="6">
        <v>45897.0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78</v>
      </c>
      <c r="B19" s="5" t="s">
        <v>79</v>
      </c>
      <c r="C19" s="5" t="s">
        <v>80</v>
      </c>
      <c r="D19" s="5" t="s">
        <v>81</v>
      </c>
      <c r="E19" s="6">
        <v>45455.0</v>
      </c>
      <c r="F19" s="5" t="s">
        <v>22</v>
      </c>
      <c r="G19" s="5" t="s">
        <v>33</v>
      </c>
      <c r="H19" s="5">
        <v>11.0</v>
      </c>
      <c r="I19" s="5">
        <v>2150.5</v>
      </c>
      <c r="J19" s="6">
        <v>45902.0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82</v>
      </c>
      <c r="B20" s="5" t="s">
        <v>83</v>
      </c>
      <c r="C20" s="5" t="s">
        <v>84</v>
      </c>
      <c r="D20" s="5" t="s">
        <v>85</v>
      </c>
      <c r="E20" s="6">
        <v>45461.0</v>
      </c>
      <c r="F20" s="5" t="s">
        <v>16</v>
      </c>
      <c r="G20" s="5" t="s">
        <v>17</v>
      </c>
      <c r="H20" s="5">
        <v>4.0</v>
      </c>
      <c r="I20" s="5">
        <v>380.0</v>
      </c>
      <c r="J20" s="6">
        <v>45859.0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86</v>
      </c>
      <c r="B21" s="5" t="s">
        <v>87</v>
      </c>
      <c r="C21" s="5" t="s">
        <v>88</v>
      </c>
      <c r="D21" s="5" t="s">
        <v>89</v>
      </c>
      <c r="E21" s="6">
        <v>45468.0</v>
      </c>
      <c r="F21" s="5" t="s">
        <v>28</v>
      </c>
      <c r="G21" s="5" t="s">
        <v>23</v>
      </c>
      <c r="H21" s="5">
        <v>3.0</v>
      </c>
      <c r="I21" s="5">
        <v>210.3</v>
      </c>
      <c r="J21" s="6">
        <v>45888.0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90</v>
      </c>
      <c r="B22" s="5" t="s">
        <v>91</v>
      </c>
      <c r="C22" s="5" t="s">
        <v>92</v>
      </c>
      <c r="D22" s="5" t="s">
        <v>93</v>
      </c>
      <c r="E22" s="6">
        <v>45474.0</v>
      </c>
      <c r="F22" s="5" t="s">
        <v>16</v>
      </c>
      <c r="G22" s="5" t="s">
        <v>17</v>
      </c>
      <c r="H22" s="5">
        <v>6.0</v>
      </c>
      <c r="I22" s="5">
        <v>555.5</v>
      </c>
      <c r="J22" s="6">
        <v>45908.0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94</v>
      </c>
      <c r="B23" s="5" t="s">
        <v>95</v>
      </c>
      <c r="C23" s="5" t="s">
        <v>96</v>
      </c>
      <c r="D23" s="5" t="s">
        <v>97</v>
      </c>
      <c r="E23" s="6">
        <v>45481.0</v>
      </c>
      <c r="F23" s="5" t="s">
        <v>4</v>
      </c>
      <c r="G23" s="5" t="s">
        <v>33</v>
      </c>
      <c r="H23" s="5">
        <v>18.0</v>
      </c>
      <c r="I23" s="5">
        <v>4500.0</v>
      </c>
      <c r="J23" s="6">
        <v>45880.0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98</v>
      </c>
      <c r="B24" s="5" t="s">
        <v>99</v>
      </c>
      <c r="C24" s="5" t="s">
        <v>100</v>
      </c>
      <c r="D24" s="5" t="s">
        <v>101</v>
      </c>
      <c r="E24" s="6">
        <v>45488.0</v>
      </c>
      <c r="F24" s="5" t="s">
        <v>22</v>
      </c>
      <c r="G24" s="5" t="s">
        <v>17</v>
      </c>
      <c r="H24" s="5">
        <v>3.0</v>
      </c>
      <c r="I24" s="5">
        <v>290.0</v>
      </c>
      <c r="J24" s="6">
        <v>45866.0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102</v>
      </c>
      <c r="B25" s="5" t="s">
        <v>103</v>
      </c>
      <c r="C25" s="5" t="s">
        <v>104</v>
      </c>
      <c r="D25" s="5" t="s">
        <v>105</v>
      </c>
      <c r="E25" s="6">
        <v>45496.0</v>
      </c>
      <c r="F25" s="5" t="s">
        <v>16</v>
      </c>
      <c r="G25" s="5" t="s">
        <v>23</v>
      </c>
      <c r="H25" s="5">
        <v>2.0</v>
      </c>
      <c r="I25" s="5">
        <v>85.75</v>
      </c>
      <c r="J25" s="6">
        <v>45914.0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106</v>
      </c>
      <c r="B26" s="5" t="s">
        <v>107</v>
      </c>
      <c r="C26" s="5" t="s">
        <v>108</v>
      </c>
      <c r="D26" s="5" t="s">
        <v>109</v>
      </c>
      <c r="E26" s="6">
        <v>45506.0</v>
      </c>
      <c r="F26" s="5" t="s">
        <v>28</v>
      </c>
      <c r="G26" s="5" t="s">
        <v>17</v>
      </c>
      <c r="H26" s="5">
        <v>7.0</v>
      </c>
      <c r="I26" s="5">
        <v>720.0</v>
      </c>
      <c r="J26" s="6">
        <v>45899.0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110</v>
      </c>
      <c r="B27" s="5" t="s">
        <v>111</v>
      </c>
      <c r="C27" s="5" t="s">
        <v>112</v>
      </c>
      <c r="D27" s="5" t="s">
        <v>113</v>
      </c>
      <c r="E27" s="6">
        <v>45513.0</v>
      </c>
      <c r="F27" s="5" t="s">
        <v>16</v>
      </c>
      <c r="G27" s="5" t="s">
        <v>33</v>
      </c>
      <c r="H27" s="5">
        <v>14.0</v>
      </c>
      <c r="I27" s="5">
        <v>2950.25</v>
      </c>
      <c r="J27" s="6">
        <v>45904.0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114</v>
      </c>
      <c r="B28" s="5" t="s">
        <v>115</v>
      </c>
      <c r="C28" s="5" t="s">
        <v>116</v>
      </c>
      <c r="D28" s="5" t="s">
        <v>117</v>
      </c>
      <c r="E28" s="6">
        <v>45520.0</v>
      </c>
      <c r="F28" s="5" t="s">
        <v>4</v>
      </c>
      <c r="G28" s="5" t="s">
        <v>23</v>
      </c>
      <c r="H28" s="5">
        <v>1.0</v>
      </c>
      <c r="I28" s="5">
        <v>49.5</v>
      </c>
      <c r="J28" s="6">
        <v>45853.0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118</v>
      </c>
      <c r="B29" s="5" t="s">
        <v>119</v>
      </c>
      <c r="C29" s="5" t="s">
        <v>120</v>
      </c>
      <c r="D29" s="5" t="s">
        <v>121</v>
      </c>
      <c r="E29" s="6">
        <v>45526.0</v>
      </c>
      <c r="F29" s="5" t="s">
        <v>22</v>
      </c>
      <c r="G29" s="5" t="s">
        <v>17</v>
      </c>
      <c r="H29" s="5">
        <v>5.0</v>
      </c>
      <c r="I29" s="5">
        <v>480.0</v>
      </c>
      <c r="J29" s="6">
        <v>45894.0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122</v>
      </c>
      <c r="B30" s="5" t="s">
        <v>123</v>
      </c>
      <c r="C30" s="5" t="s">
        <v>124</v>
      </c>
      <c r="D30" s="5" t="s">
        <v>125</v>
      </c>
      <c r="E30" s="6">
        <v>45536.0</v>
      </c>
      <c r="F30" s="5" t="s">
        <v>16</v>
      </c>
      <c r="G30" s="5" t="s">
        <v>17</v>
      </c>
      <c r="H30" s="5">
        <v>8.0</v>
      </c>
      <c r="I30" s="5">
        <v>950.6</v>
      </c>
      <c r="J30" s="6">
        <v>45912.0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126</v>
      </c>
      <c r="B31" s="5" t="s">
        <v>127</v>
      </c>
      <c r="C31" s="5" t="s">
        <v>128</v>
      </c>
      <c r="D31" s="5" t="s">
        <v>129</v>
      </c>
      <c r="E31" s="6">
        <v>45540.0</v>
      </c>
      <c r="F31" s="5" t="s">
        <v>28</v>
      </c>
      <c r="G31" s="5" t="s">
        <v>23</v>
      </c>
      <c r="H31" s="5">
        <v>2.0</v>
      </c>
      <c r="I31" s="5">
        <v>130.0</v>
      </c>
      <c r="J31" s="6">
        <v>45874.0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130</v>
      </c>
      <c r="B32" s="5" t="s">
        <v>131</v>
      </c>
      <c r="C32" s="5" t="s">
        <v>132</v>
      </c>
      <c r="D32" s="5" t="s">
        <v>133</v>
      </c>
      <c r="E32" s="6">
        <v>45545.0</v>
      </c>
      <c r="F32" s="5" t="s">
        <v>16</v>
      </c>
      <c r="G32" s="5" t="s">
        <v>33</v>
      </c>
      <c r="H32" s="5">
        <v>16.0</v>
      </c>
      <c r="I32" s="5">
        <v>3600.0</v>
      </c>
      <c r="J32" s="6">
        <v>45909.0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134</v>
      </c>
      <c r="B33" s="5" t="s">
        <v>135</v>
      </c>
      <c r="C33" s="5" t="s">
        <v>136</v>
      </c>
      <c r="D33" s="5" t="s">
        <v>137</v>
      </c>
      <c r="E33" s="6">
        <v>45549.0</v>
      </c>
      <c r="F33" s="5" t="s">
        <v>4</v>
      </c>
      <c r="G33" s="5" t="s">
        <v>17</v>
      </c>
      <c r="H33" s="5">
        <v>4.0</v>
      </c>
      <c r="I33" s="5">
        <v>410.25</v>
      </c>
      <c r="J33" s="6">
        <v>45887.0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138</v>
      </c>
      <c r="B34" s="5" t="s">
        <v>139</v>
      </c>
      <c r="C34" s="5" t="s">
        <v>140</v>
      </c>
      <c r="D34" s="5" t="s">
        <v>141</v>
      </c>
      <c r="E34" s="6">
        <v>45555.0</v>
      </c>
      <c r="F34" s="5" t="s">
        <v>16</v>
      </c>
      <c r="G34" s="5" t="s">
        <v>17</v>
      </c>
      <c r="H34" s="5">
        <v>6.0</v>
      </c>
      <c r="I34" s="5">
        <v>580.4</v>
      </c>
      <c r="J34" s="6">
        <v>45916.0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142</v>
      </c>
      <c r="B35" s="5" t="s">
        <v>143</v>
      </c>
      <c r="C35" s="5" t="s">
        <v>144</v>
      </c>
      <c r="D35" s="5" t="s">
        <v>145</v>
      </c>
      <c r="E35" s="6">
        <v>45560.0</v>
      </c>
      <c r="F35" s="5" t="s">
        <v>22</v>
      </c>
      <c r="G35" s="5" t="s">
        <v>23</v>
      </c>
      <c r="H35" s="5">
        <v>3.0</v>
      </c>
      <c r="I35" s="5">
        <v>195.0</v>
      </c>
      <c r="J35" s="6">
        <v>45890.0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146</v>
      </c>
      <c r="B36" s="5" t="s">
        <v>147</v>
      </c>
      <c r="C36" s="5" t="s">
        <v>148</v>
      </c>
      <c r="D36" s="5" t="s">
        <v>149</v>
      </c>
      <c r="E36" s="6">
        <v>45567.0</v>
      </c>
      <c r="F36" s="5" t="s">
        <v>28</v>
      </c>
      <c r="G36" s="5" t="s">
        <v>33</v>
      </c>
      <c r="H36" s="5">
        <v>20.0</v>
      </c>
      <c r="I36" s="5">
        <v>5200.75</v>
      </c>
      <c r="J36" s="6">
        <v>45910.0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150</v>
      </c>
      <c r="B37" s="5" t="s">
        <v>151</v>
      </c>
      <c r="C37" s="5" t="s">
        <v>152</v>
      </c>
      <c r="D37" s="5" t="s">
        <v>153</v>
      </c>
      <c r="E37" s="6">
        <v>45574.0</v>
      </c>
      <c r="F37" s="5" t="s">
        <v>4</v>
      </c>
      <c r="G37" s="5" t="s">
        <v>17</v>
      </c>
      <c r="H37" s="5">
        <v>7.0</v>
      </c>
      <c r="I37" s="5">
        <v>650.0</v>
      </c>
      <c r="J37" s="6">
        <v>45918.0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154</v>
      </c>
      <c r="B38" s="5" t="s">
        <v>155</v>
      </c>
      <c r="C38" s="5" t="s">
        <v>156</v>
      </c>
      <c r="D38" s="5" t="s">
        <v>157</v>
      </c>
      <c r="E38" s="6">
        <v>45580.0</v>
      </c>
      <c r="F38" s="5" t="s">
        <v>16</v>
      </c>
      <c r="G38" s="5" t="s">
        <v>23</v>
      </c>
      <c r="H38" s="5">
        <v>1.0</v>
      </c>
      <c r="I38" s="5">
        <v>89.95</v>
      </c>
      <c r="J38" s="6">
        <v>45867.0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158</v>
      </c>
      <c r="B39" s="5" t="s">
        <v>159</v>
      </c>
      <c r="C39" s="5" t="s">
        <v>160</v>
      </c>
      <c r="D39" s="5" t="s">
        <v>161</v>
      </c>
      <c r="E39" s="6">
        <v>45587.0</v>
      </c>
      <c r="F39" s="5" t="s">
        <v>16</v>
      </c>
      <c r="G39" s="5" t="s">
        <v>17</v>
      </c>
      <c r="H39" s="5">
        <v>5.0</v>
      </c>
      <c r="I39" s="5">
        <v>510.2</v>
      </c>
      <c r="J39" s="6">
        <v>45906.0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162</v>
      </c>
      <c r="B40" s="5" t="s">
        <v>163</v>
      </c>
      <c r="C40" s="5" t="s">
        <v>164</v>
      </c>
      <c r="D40" s="5" t="s">
        <v>165</v>
      </c>
      <c r="E40" s="6">
        <v>45597.0</v>
      </c>
      <c r="F40" s="5" t="s">
        <v>22</v>
      </c>
      <c r="G40" s="5" t="s">
        <v>33</v>
      </c>
      <c r="H40" s="5">
        <v>12.0</v>
      </c>
      <c r="I40" s="5">
        <v>2800.0</v>
      </c>
      <c r="J40" s="6">
        <v>45913.0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166</v>
      </c>
      <c r="B41" s="5" t="s">
        <v>167</v>
      </c>
      <c r="C41" s="5" t="s">
        <v>168</v>
      </c>
      <c r="D41" s="5" t="s">
        <v>169</v>
      </c>
      <c r="E41" s="6">
        <v>45604.0</v>
      </c>
      <c r="F41" s="5" t="s">
        <v>28</v>
      </c>
      <c r="G41" s="5" t="s">
        <v>23</v>
      </c>
      <c r="H41" s="5">
        <v>4.0</v>
      </c>
      <c r="I41" s="5">
        <v>250.6</v>
      </c>
      <c r="J41" s="6">
        <v>45893.0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170</v>
      </c>
      <c r="B42" s="5" t="s">
        <v>171</v>
      </c>
      <c r="C42" s="5" t="s">
        <v>172</v>
      </c>
      <c r="D42" s="5" t="s">
        <v>173</v>
      </c>
      <c r="E42" s="6">
        <v>45612.0</v>
      </c>
      <c r="F42" s="5" t="s">
        <v>16</v>
      </c>
      <c r="G42" s="5" t="s">
        <v>17</v>
      </c>
      <c r="H42" s="5">
        <v>9.0</v>
      </c>
      <c r="I42" s="5">
        <v>1200.0</v>
      </c>
      <c r="J42" s="6">
        <v>45917.0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174</v>
      </c>
      <c r="B43" s="5" t="s">
        <v>175</v>
      </c>
      <c r="C43" s="5" t="s">
        <v>104</v>
      </c>
      <c r="D43" s="5" t="s">
        <v>176</v>
      </c>
      <c r="E43" s="6">
        <v>45621.0</v>
      </c>
      <c r="F43" s="5" t="s">
        <v>4</v>
      </c>
      <c r="G43" s="5" t="s">
        <v>17</v>
      </c>
      <c r="H43" s="5">
        <v>8.0</v>
      </c>
      <c r="I43" s="5">
        <v>880.8</v>
      </c>
      <c r="J43" s="6">
        <v>45898.0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177</v>
      </c>
      <c r="B44" s="5" t="s">
        <v>178</v>
      </c>
      <c r="C44" s="5" t="s">
        <v>179</v>
      </c>
      <c r="D44" s="5" t="s">
        <v>180</v>
      </c>
      <c r="E44" s="6">
        <v>45629.0</v>
      </c>
      <c r="F44" s="5" t="s">
        <v>22</v>
      </c>
      <c r="G44" s="5" t="s">
        <v>23</v>
      </c>
      <c r="H44" s="5">
        <v>2.0</v>
      </c>
      <c r="I44" s="5">
        <v>115.5</v>
      </c>
      <c r="J44" s="6">
        <v>45907.0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181</v>
      </c>
      <c r="B45" s="5" t="s">
        <v>182</v>
      </c>
      <c r="C45" s="5" t="s">
        <v>183</v>
      </c>
      <c r="D45" s="5" t="s">
        <v>184</v>
      </c>
      <c r="E45" s="6">
        <v>45637.0</v>
      </c>
      <c r="F45" s="5" t="s">
        <v>16</v>
      </c>
      <c r="G45" s="5" t="s">
        <v>33</v>
      </c>
      <c r="H45" s="5">
        <v>17.0</v>
      </c>
      <c r="I45" s="5">
        <v>3950.0</v>
      </c>
      <c r="J45" s="6">
        <v>45919.0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185</v>
      </c>
      <c r="B46" s="5" t="s">
        <v>186</v>
      </c>
      <c r="C46" s="5" t="s">
        <v>187</v>
      </c>
      <c r="D46" s="5" t="s">
        <v>188</v>
      </c>
      <c r="E46" s="6">
        <v>45646.0</v>
      </c>
      <c r="F46" s="5" t="s">
        <v>28</v>
      </c>
      <c r="G46" s="5" t="s">
        <v>17</v>
      </c>
      <c r="H46" s="5">
        <v>6.0</v>
      </c>
      <c r="I46" s="5">
        <v>610.75</v>
      </c>
      <c r="J46" s="6">
        <v>45895.0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189</v>
      </c>
      <c r="B47" s="5" t="s">
        <v>190</v>
      </c>
      <c r="C47" s="5" t="s">
        <v>191</v>
      </c>
      <c r="D47" s="5" t="s">
        <v>192</v>
      </c>
      <c r="E47" s="6">
        <v>45661.0</v>
      </c>
      <c r="F47" s="5" t="s">
        <v>16</v>
      </c>
      <c r="G47" s="5" t="s">
        <v>23</v>
      </c>
      <c r="H47" s="5">
        <v>3.0</v>
      </c>
      <c r="I47" s="5">
        <v>175.0</v>
      </c>
      <c r="J47" s="6">
        <v>45911.0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193</v>
      </c>
      <c r="B48" s="5" t="s">
        <v>194</v>
      </c>
      <c r="C48" s="5" t="s">
        <v>195</v>
      </c>
      <c r="D48" s="5" t="s">
        <v>196</v>
      </c>
      <c r="E48" s="6">
        <v>45669.0</v>
      </c>
      <c r="F48" s="5" t="s">
        <v>4</v>
      </c>
      <c r="G48" s="5" t="s">
        <v>17</v>
      </c>
      <c r="H48" s="5">
        <v>10.0</v>
      </c>
      <c r="I48" s="5">
        <v>1350.25</v>
      </c>
      <c r="J48" s="6">
        <v>45914.0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197</v>
      </c>
      <c r="B49" s="5" t="s">
        <v>198</v>
      </c>
      <c r="C49" s="5" t="s">
        <v>199</v>
      </c>
      <c r="D49" s="5" t="s">
        <v>200</v>
      </c>
      <c r="E49" s="6">
        <v>45678.0</v>
      </c>
      <c r="F49" s="5" t="s">
        <v>22</v>
      </c>
      <c r="G49" s="5" t="s">
        <v>33</v>
      </c>
      <c r="H49" s="5">
        <v>13.0</v>
      </c>
      <c r="I49" s="5">
        <v>2900.5</v>
      </c>
      <c r="J49" s="6">
        <v>45900.0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201</v>
      </c>
      <c r="B50" s="5" t="s">
        <v>202</v>
      </c>
      <c r="C50" s="5" t="s">
        <v>203</v>
      </c>
      <c r="D50" s="5" t="s">
        <v>204</v>
      </c>
      <c r="E50" s="6">
        <v>45685.0</v>
      </c>
      <c r="F50" s="5" t="s">
        <v>16</v>
      </c>
      <c r="G50" s="5" t="s">
        <v>17</v>
      </c>
      <c r="H50" s="5">
        <v>4.0</v>
      </c>
      <c r="I50" s="5">
        <v>360.0</v>
      </c>
      <c r="J50" s="6">
        <v>45909.0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205</v>
      </c>
      <c r="B51" s="5" t="s">
        <v>206</v>
      </c>
      <c r="C51" s="5" t="s">
        <v>207</v>
      </c>
      <c r="D51" s="5" t="s">
        <v>208</v>
      </c>
      <c r="E51" s="6">
        <v>45693.0</v>
      </c>
      <c r="F51" s="5" t="s">
        <v>28</v>
      </c>
      <c r="G51" s="5" t="s">
        <v>23</v>
      </c>
      <c r="H51" s="5">
        <v>2.0</v>
      </c>
      <c r="I51" s="5">
        <v>95.2</v>
      </c>
      <c r="J51" s="6">
        <v>45885.0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209</v>
      </c>
      <c r="B52" s="5" t="s">
        <v>210</v>
      </c>
      <c r="C52" s="5" t="s">
        <v>211</v>
      </c>
      <c r="D52" s="5" t="s">
        <v>212</v>
      </c>
      <c r="E52" s="6">
        <v>45700.0</v>
      </c>
      <c r="F52" s="5" t="s">
        <v>16</v>
      </c>
      <c r="G52" s="5" t="s">
        <v>17</v>
      </c>
      <c r="H52" s="5">
        <v>7.0</v>
      </c>
      <c r="I52" s="5">
        <v>780.9</v>
      </c>
      <c r="J52" s="6">
        <v>45915.0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213</v>
      </c>
      <c r="B53" s="5" t="s">
        <v>214</v>
      </c>
      <c r="C53" s="5" t="s">
        <v>215</v>
      </c>
      <c r="D53" s="5" t="s">
        <v>216</v>
      </c>
      <c r="E53" s="6">
        <v>45708.0</v>
      </c>
      <c r="F53" s="5" t="s">
        <v>4</v>
      </c>
      <c r="G53" s="5" t="s">
        <v>33</v>
      </c>
      <c r="H53" s="5">
        <v>19.0</v>
      </c>
      <c r="I53" s="5">
        <v>4850.0</v>
      </c>
      <c r="J53" s="6">
        <v>45912.0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dataValidations>
    <dataValidation type="list" allowBlank="1" showErrorMessage="1" sqref="M1">
      <formula1>"Web,Referral,Social Media,Email"</formula1>
    </dataValidation>
    <dataValidation type="list" allowBlank="1" showErrorMessage="1" sqref="O1">
      <formula1>"SMB,Individual,Enterprise"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7" max="7" width="13.75"/>
    <col customWidth="1" min="8" max="8" width="12.13"/>
  </cols>
  <sheetData>
    <row r="1">
      <c r="A1" s="1" t="s">
        <v>220</v>
      </c>
      <c r="B1" s="10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"/>
      <c r="B2" s="10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 t="s">
        <v>221</v>
      </c>
      <c r="B3" s="10"/>
      <c r="C3" s="2"/>
      <c r="D3" s="11" t="s">
        <v>222</v>
      </c>
      <c r="E3" s="11" t="s">
        <v>223</v>
      </c>
      <c r="F3" s="11" t="s">
        <v>224</v>
      </c>
      <c r="G3" s="11" t="s">
        <v>225</v>
      </c>
      <c r="H3" s="11" t="s">
        <v>226</v>
      </c>
      <c r="I3" s="11" t="s">
        <v>227</v>
      </c>
      <c r="J3" s="12" t="s">
        <v>228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3" t="s">
        <v>229</v>
      </c>
      <c r="B4" s="14">
        <v>1.0</v>
      </c>
      <c r="C4" s="2"/>
      <c r="D4" s="15" t="s">
        <v>230</v>
      </c>
      <c r="E4" s="10" t="str">
        <f t="array" ref="E4:E9">LEFT(D4:D9,2)</f>
        <v>12</v>
      </c>
      <c r="F4" s="10" t="str">
        <f>IFERROR(__xludf.DUMMYFUNCTION("ArrayFormula(REGEXEXTRACT(D4:D9, ""\d+\s+(\S{1,2}\.\S\.)\s+\d+""))"),"ธ.ค.")</f>
        <v>ธ.ค.</v>
      </c>
      <c r="G4" s="10">
        <f t="shared" ref="G4:G9" si="1">XLOOKUP(F4,A$4:A$15,B$4:B$15)</f>
        <v>12</v>
      </c>
      <c r="H4" s="10" t="str">
        <f t="array" ref="H4:H9">RIGHT(D4:D9,4)</f>
        <v>2563</v>
      </c>
      <c r="I4" s="16">
        <f t="array" ref="I4:I9">H4:H9-543</f>
        <v>2020</v>
      </c>
      <c r="J4" s="17">
        <f t="array" ref="J4:J9">DATE(I4:I9,G4:G9,E4:E9)</f>
        <v>44177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3" t="s">
        <v>231</v>
      </c>
      <c r="B5" s="14">
        <v>2.0</v>
      </c>
      <c r="C5" s="2"/>
      <c r="D5" s="15" t="s">
        <v>232</v>
      </c>
      <c r="E5" s="10" t="s">
        <v>233</v>
      </c>
      <c r="F5" s="10" t="str">
        <f>IFERROR(__xludf.DUMMYFUNCTION("""COMPUTED_VALUE"""),"พ.ย.")</f>
        <v>พ.ย.</v>
      </c>
      <c r="G5" s="10">
        <f t="shared" si="1"/>
        <v>11</v>
      </c>
      <c r="H5" s="10" t="s">
        <v>234</v>
      </c>
      <c r="I5" s="16">
        <v>2018.0</v>
      </c>
      <c r="J5" s="17">
        <v>43429.0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3" t="s">
        <v>235</v>
      </c>
      <c r="B6" s="14">
        <v>3.0</v>
      </c>
      <c r="C6" s="2"/>
      <c r="D6" s="15" t="s">
        <v>236</v>
      </c>
      <c r="E6" s="10" t="s">
        <v>237</v>
      </c>
      <c r="F6" s="10" t="str">
        <f>IFERROR(__xludf.DUMMYFUNCTION("""COMPUTED_VALUE"""),"ก.ย.")</f>
        <v>ก.ย.</v>
      </c>
      <c r="G6" s="10">
        <f t="shared" si="1"/>
        <v>9</v>
      </c>
      <c r="H6" s="10" t="s">
        <v>238</v>
      </c>
      <c r="I6" s="16">
        <v>2019.0</v>
      </c>
      <c r="J6" s="17">
        <v>43717.0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3" t="s">
        <v>239</v>
      </c>
      <c r="B7" s="14">
        <v>4.0</v>
      </c>
      <c r="C7" s="2"/>
      <c r="D7" s="15" t="s">
        <v>240</v>
      </c>
      <c r="E7" s="10" t="s">
        <v>241</v>
      </c>
      <c r="F7" s="10" t="str">
        <f>IFERROR(__xludf.DUMMYFUNCTION("""COMPUTED_VALUE"""),"ม.ค.")</f>
        <v>ม.ค.</v>
      </c>
      <c r="G7" s="10">
        <f t="shared" si="1"/>
        <v>1</v>
      </c>
      <c r="H7" s="10" t="s">
        <v>242</v>
      </c>
      <c r="I7" s="16">
        <v>2017.0</v>
      </c>
      <c r="J7" s="17">
        <v>42742.0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 t="s">
        <v>243</v>
      </c>
      <c r="B8" s="14">
        <v>5.0</v>
      </c>
      <c r="C8" s="2"/>
      <c r="D8" s="15" t="s">
        <v>244</v>
      </c>
      <c r="E8" s="10" t="s">
        <v>245</v>
      </c>
      <c r="F8" s="10" t="str">
        <f>IFERROR(__xludf.DUMMYFUNCTION("""COMPUTED_VALUE"""),"เม.ย.")</f>
        <v>เม.ย.</v>
      </c>
      <c r="G8" s="10">
        <f t="shared" si="1"/>
        <v>4</v>
      </c>
      <c r="H8" s="10" t="s">
        <v>246</v>
      </c>
      <c r="I8" s="16">
        <v>2020.0</v>
      </c>
      <c r="J8" s="17">
        <v>43936.0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 t="s">
        <v>247</v>
      </c>
      <c r="B9" s="14">
        <v>6.0</v>
      </c>
      <c r="C9" s="2"/>
      <c r="D9" s="15" t="s">
        <v>248</v>
      </c>
      <c r="E9" s="10" t="s">
        <v>249</v>
      </c>
      <c r="F9" s="10" t="str">
        <f>IFERROR(__xludf.DUMMYFUNCTION("""COMPUTED_VALUE"""),"มิ.ย.")</f>
        <v>มิ.ย.</v>
      </c>
      <c r="G9" s="10">
        <f t="shared" si="1"/>
        <v>6</v>
      </c>
      <c r="H9" s="10" t="s">
        <v>246</v>
      </c>
      <c r="I9" s="16">
        <v>2020.0</v>
      </c>
      <c r="J9" s="17">
        <v>43988.0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 t="s">
        <v>250</v>
      </c>
      <c r="B10" s="14">
        <v>7.0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 t="s">
        <v>251</v>
      </c>
      <c r="B11" s="14">
        <v>8.0</v>
      </c>
      <c r="C11" s="2"/>
      <c r="D11" s="2"/>
      <c r="E11" s="7" t="str">
        <f t="array" ref="E11:E16">TRANSPOSE( UNIQUE(E3:J3))</f>
        <v>Day</v>
      </c>
      <c r="F11" s="8" t="str">
        <f>FORMULATEXT(E$4)</f>
        <v>=ArrayFormula(LEFT(D4:D9,2))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 t="s">
        <v>252</v>
      </c>
      <c r="B12" s="14">
        <v>9.0</v>
      </c>
      <c r="C12" s="2"/>
      <c r="D12" s="2"/>
      <c r="E12" s="7" t="s">
        <v>224</v>
      </c>
      <c r="F12" s="8" t="str">
        <f>FORMULATEXT(F$4)</f>
        <v>=ArrayFormula(REGEXEXTRACT(D4:D9, "\d+\s+(\S{1,2}\.\S\.)\s+\d+"))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 t="s">
        <v>253</v>
      </c>
      <c r="B13" s="14">
        <v>10.0</v>
      </c>
      <c r="C13" s="2"/>
      <c r="D13" s="2"/>
      <c r="E13" s="7" t="s">
        <v>225</v>
      </c>
      <c r="F13" s="8" t="str">
        <f>FORMULATEXT(G$4)</f>
        <v>=XLOOKUP(F4,A$4:A$15,B$4:B$15)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 t="s">
        <v>254</v>
      </c>
      <c r="B14" s="14">
        <v>11.0</v>
      </c>
      <c r="C14" s="2"/>
      <c r="D14" s="2"/>
      <c r="E14" s="18" t="s">
        <v>226</v>
      </c>
      <c r="F14" s="8" t="str">
        <f>FORMULATEXT(H$4)</f>
        <v>=ArrayFormula(RIGHT(D4:D9,4))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3" t="s">
        <v>255</v>
      </c>
      <c r="B15" s="14">
        <v>12.0</v>
      </c>
      <c r="C15" s="2"/>
      <c r="D15" s="2"/>
      <c r="E15" s="18" t="s">
        <v>227</v>
      </c>
      <c r="F15" s="8" t="str">
        <f>FORMULATEXT(I$4)</f>
        <v>=ArrayFormula(H4:H9-543)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10"/>
      <c r="C16" s="2"/>
      <c r="D16" s="2"/>
      <c r="E16" s="18" t="s">
        <v>228</v>
      </c>
      <c r="F16" s="8" t="str">
        <f>FORMULATEXT(J$4)</f>
        <v>=ArrayFormula(DATE(I4:I9,G4:G9,E4:E9))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1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1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10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10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10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10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1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1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1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1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1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1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1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1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1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1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1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1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1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1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1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1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1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1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1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1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1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1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1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1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1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1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1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1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1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1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1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1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1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1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1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1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1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1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1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1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1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1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1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1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1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10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1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1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1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1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1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1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1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1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1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1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1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1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1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1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1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1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1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1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1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1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1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1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1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1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1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1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1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1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1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1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1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1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1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1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1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1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1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1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1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10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1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1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1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1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1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10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10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1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1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1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1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1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1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1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1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1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1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1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1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1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1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1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1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1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1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10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10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10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10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10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10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10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10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1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1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10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10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10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10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10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10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10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10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10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10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10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10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10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10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10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10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10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10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10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10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10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10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10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10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10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10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10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10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10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10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10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10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10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10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10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10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10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10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10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10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10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10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10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10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10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10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10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10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10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10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10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10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10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10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10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10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10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10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10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10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10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10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10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10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10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10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10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10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10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10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10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10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10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10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10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10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10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10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10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10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10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10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10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10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10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10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10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10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10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1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10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1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10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1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10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1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10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1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10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10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10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10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10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10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10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10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10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10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10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10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10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1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10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10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10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10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10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1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10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10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10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10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10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10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10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10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10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10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10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10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10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10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10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10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10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10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10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10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10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10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10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10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10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10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10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10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10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10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10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10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10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10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10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10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10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10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10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10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10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10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10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10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10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10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10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10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10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10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10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10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10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10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10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10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10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10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10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10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10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10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10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10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10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10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10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10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10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10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10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10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10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10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10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10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10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10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10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10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10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10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10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10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10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10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10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10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10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10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10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10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10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10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10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10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10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10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10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10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10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10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10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10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10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10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10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10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10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10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10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10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10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10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10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10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10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10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10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10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10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10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10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10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10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1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1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1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1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1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1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1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1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1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1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1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1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1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10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1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10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1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10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1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10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1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1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1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1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1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1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1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1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1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1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1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1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1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1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1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10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1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10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1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1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1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1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1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1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1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1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1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1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1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1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1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1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1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1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1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1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1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1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1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1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1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1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1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1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1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1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1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1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1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1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1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1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1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1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1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1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1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1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1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1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1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1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1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1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1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1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1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1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1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1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1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1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1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1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1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1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1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1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1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1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1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1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1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1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1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1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1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1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1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1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1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1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1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1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1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1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1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10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1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1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1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1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1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10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1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1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1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1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1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1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1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1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1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1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1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1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1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1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1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1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1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10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1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1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1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1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1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1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1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1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1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1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1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1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1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10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1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1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1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1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1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1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1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1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1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1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1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1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1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1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1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10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1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10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1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1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1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1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1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1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1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1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1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1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1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1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1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10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1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1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1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1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1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1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1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10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1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1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10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1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1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1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1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1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1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1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1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1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1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1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1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1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1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1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1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1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1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1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10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1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1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1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1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10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10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1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1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1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1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1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1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1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1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1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1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1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1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1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1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1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1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1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1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1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1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1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1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1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1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10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1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1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10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10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10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1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1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10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10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1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1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1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1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1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1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1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1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1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1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1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1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10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1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1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1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1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1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1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1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1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10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10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10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10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10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1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1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1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10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1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1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1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10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1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1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1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10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10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1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1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1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1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10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1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1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10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1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1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1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1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1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1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1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1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1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1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1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1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1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1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1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1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1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1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1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1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1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1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10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1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1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1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1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1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1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1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1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1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1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1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1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1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1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1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1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1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1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1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10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1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1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1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1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10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1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1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1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1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10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1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1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1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10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10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1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1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1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1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1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1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1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1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1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1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1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1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1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1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1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1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1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1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1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1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1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1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1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1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1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1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1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1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1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1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10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1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1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1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1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1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1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1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1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1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1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10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1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1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1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1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1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1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1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1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1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1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1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1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1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1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1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1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1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1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1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1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1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1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1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1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1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1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1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1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1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1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1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1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1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1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1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1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1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1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1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1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1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1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1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1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1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1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1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1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1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1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1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1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1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1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1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1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1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1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1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1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1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1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1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1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1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1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1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1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1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1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1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1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1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1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1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1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1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1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1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1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1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1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1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1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1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1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1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1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1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1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1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1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1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1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1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1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1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1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1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1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1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1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1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1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1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1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1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1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1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1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1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1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1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1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1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1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1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1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1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1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1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1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1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1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1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1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1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1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1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1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1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1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1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1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1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1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1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1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1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1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1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1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1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1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1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1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1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1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1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1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1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1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1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1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1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1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1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1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1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1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1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1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1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1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10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10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1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1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1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1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1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1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1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1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1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1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1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1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1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1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1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1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1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1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1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1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1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1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1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1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1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1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1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1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1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1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1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1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1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1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10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1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1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1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1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1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10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1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40.25"/>
    <col customWidth="1" min="2" max="2" width="19.88"/>
    <col customWidth="1" min="8" max="8" width="48.5"/>
    <col customWidth="1" min="11" max="11" width="16.25"/>
  </cols>
  <sheetData>
    <row r="1">
      <c r="A1" s="1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9" t="s">
        <v>257</v>
      </c>
      <c r="B3" s="20" t="s">
        <v>258</v>
      </c>
      <c r="C3" s="20" t="s">
        <v>259</v>
      </c>
      <c r="D3" s="20" t="s">
        <v>260</v>
      </c>
      <c r="E3" s="20" t="s">
        <v>261</v>
      </c>
      <c r="F3" s="20" t="s">
        <v>262</v>
      </c>
      <c r="G3" s="20" t="s">
        <v>263</v>
      </c>
      <c r="H3" s="20" t="s">
        <v>264</v>
      </c>
      <c r="I3" s="20" t="s">
        <v>265</v>
      </c>
      <c r="J3" s="20" t="s">
        <v>266</v>
      </c>
      <c r="K3" s="21" t="s">
        <v>267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2" t="s">
        <v>268</v>
      </c>
      <c r="B4" s="2" t="str">
        <f>IFERROR(__xludf.DUMMYFUNCTION("REGEXEXTRACT(A4,""\d-\d{4}-\d{5}-\d{2}-\d"")"),"1-1078-00555-99-1")</f>
        <v>1-1078-00555-99-1</v>
      </c>
      <c r="C4" s="2" t="str">
        <f>IFERROR(__xludf.DUMMYFUNCTION("IF( REGEXMATCH(A4,""Mr""),""Male"", ""Female"")"),"Male")</f>
        <v>Male</v>
      </c>
      <c r="D4" s="2" t="str">
        <f>IFERROR(__xludf.DUMMYFUNCTION("REGEXEXTRACT(A4, ""(?:Mr|Miss)\.?\s(\w+)"")"),"John")</f>
        <v>John</v>
      </c>
      <c r="E4" s="2" t="str">
        <f>IFERROR(__xludf.DUMMYFUNCTION("REGEXEXTRACT(A4, ""(?:Mr|Miss)\.?\s(?:[A-Za-z]+\s)(\w+)"")"),"David")</f>
        <v>David</v>
      </c>
      <c r="F4" s="2" t="str">
        <f>IFERROR(__xludf.DUMMYFUNCTION("REGEXEXTRACT(A4, ""Date of Birth (.+)"")"),"20 Sep 1988")</f>
        <v>20 Sep 1988</v>
      </c>
      <c r="G4" s="2">
        <f t="shared" ref="G4:G8" si="1">DATEDIF(F4, TODAY(), "Y")</f>
        <v>37</v>
      </c>
      <c r="H4" s="2" t="str">
        <f>IFERROR(__xludf.DUMMYFUNCTION("REGEXEXTRACT(A4, ""Address(.+)"")")," 67 Bangkok Thailand 10560")</f>
        <v> 67 Bangkok Thailand 10560</v>
      </c>
      <c r="I4" s="2" t="str">
        <f>IFERROR(__xludf.DUMMYFUNCTION("REGEXEXTRACT(H4, ""[0-9]{5}$"")"),"10560")</f>
        <v>10560</v>
      </c>
      <c r="J4" s="2" t="str">
        <f>IFERROR(__xludf.DUMMYFUNCTION("REGEXEXTRACT(A4, ""Expired Date (.+)"")"),"31 Dec 2023")</f>
        <v>31 Dec 2023</v>
      </c>
      <c r="K4" s="10" t="str">
        <f t="shared" ref="K4:K8" si="2">IF( YEAR(J4)=2025, "Expired This Year", "")</f>
        <v/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3" t="s">
        <v>269</v>
      </c>
      <c r="B5" s="2" t="str">
        <f>IFERROR(__xludf.DUMMYFUNCTION("REGEXEXTRACT(A5,""\d-\d{4}-\d{5}-\d{2}-\d"")"),"3-5522-87666-87-2")</f>
        <v>3-5522-87666-87-2</v>
      </c>
      <c r="C5" s="2" t="str">
        <f>IFERROR(__xludf.DUMMYFUNCTION("IF( REGEXMATCH(A5,""Mr""),""Male"", ""Female"")"),"Female")</f>
        <v>Female</v>
      </c>
      <c r="D5" s="2" t="str">
        <f>IFERROR(__xludf.DUMMYFUNCTION("REGEXEXTRACT(A5, ""(?:Mr|Miss)\.?\s(\w+)"")"),"Carry")</f>
        <v>Carry</v>
      </c>
      <c r="E5" s="2" t="str">
        <f>IFERROR(__xludf.DUMMYFUNCTION("REGEXEXTRACT(A5, ""(?:Mr|Miss)\.?\s(?:[A-Za-z]+\s)(\w+)"")"),"Anna")</f>
        <v>Anna</v>
      </c>
      <c r="F5" s="2" t="str">
        <f>IFERROR(__xludf.DUMMYFUNCTION("REGEXEXTRACT(A5, ""Date of Birth (.+)"")"),"18 Jan 1995")</f>
        <v>18 Jan 1995</v>
      </c>
      <c r="G5" s="2">
        <f t="shared" si="1"/>
        <v>30</v>
      </c>
      <c r="H5" s="2" t="str">
        <f>IFERROR(__xludf.DUMMYFUNCTION("REGEXEXTRACT(A5, ""Address(.+)"")")," 967 Tokyo Japan 10880")</f>
        <v> 967 Tokyo Japan 10880</v>
      </c>
      <c r="I5" s="2" t="str">
        <f>IFERROR(__xludf.DUMMYFUNCTION("REGEXEXTRACT(H5, ""[0-9]{5}$"")"),"10880")</f>
        <v>10880</v>
      </c>
      <c r="J5" s="2" t="str">
        <f>IFERROR(__xludf.DUMMYFUNCTION("REGEXEXTRACT(A5, ""Expired Date (.+)"")"),"25 Apr 2025")</f>
        <v>25 Apr 2025</v>
      </c>
      <c r="K5" s="10" t="str">
        <f t="shared" si="2"/>
        <v>Expired This Year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2" t="s">
        <v>270</v>
      </c>
      <c r="B6" s="2" t="str">
        <f>IFERROR(__xludf.DUMMYFUNCTION("REGEXEXTRACT(A6,""\d-\d{4}-\d{5}-\d{2}-\d"")"),"1-2222-03874-23-6")</f>
        <v>1-2222-03874-23-6</v>
      </c>
      <c r="C6" s="2" t="str">
        <f>IFERROR(__xludf.DUMMYFUNCTION("IF( REGEXMATCH(A6,""Mr""),""Male"", ""Female"")"),"Male")</f>
        <v>Male</v>
      </c>
      <c r="D6" s="2" t="str">
        <f>IFERROR(__xludf.DUMMYFUNCTION("REGEXEXTRACT(A6, ""(?:Mr|Miss)\.?\s(\w+)"")"),"Kevin")</f>
        <v>Kevin</v>
      </c>
      <c r="E6" s="2" t="str">
        <f>IFERROR(__xludf.DUMMYFUNCTION("REGEXEXTRACT(A6, ""(?:Mr|Miss)\.?\s(?:[A-Za-z]+\s)(\w+)"")"),"Demio")</f>
        <v>Demio</v>
      </c>
      <c r="F6" s="2" t="str">
        <f>IFERROR(__xludf.DUMMYFUNCTION("REGEXEXTRACT(A6, ""Date of Birth (.+)"")"),"14 Feb 1992")</f>
        <v>14 Feb 1992</v>
      </c>
      <c r="G6" s="2">
        <f t="shared" si="1"/>
        <v>33</v>
      </c>
      <c r="H6" s="2" t="str">
        <f>IFERROR(__xludf.DUMMYFUNCTION("REGEXEXTRACT(A6, ""Address(.+)"")")," 7878 Washington United States 11155")</f>
        <v> 7878 Washington United States 11155</v>
      </c>
      <c r="I6" s="2" t="str">
        <f>IFERROR(__xludf.DUMMYFUNCTION("REGEXEXTRACT(H6, ""[0-9]{5}$"")"),"11155")</f>
        <v>11155</v>
      </c>
      <c r="J6" s="2" t="str">
        <f>IFERROR(__xludf.DUMMYFUNCTION("REGEXEXTRACT(A6, ""Expired Date (.+)"")"),"31 Oct 2020")</f>
        <v>31 Oct 2020</v>
      </c>
      <c r="K6" s="10" t="str">
        <f t="shared" si="2"/>
        <v/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2" t="s">
        <v>271</v>
      </c>
      <c r="B7" s="2" t="str">
        <f>IFERROR(__xludf.DUMMYFUNCTION("REGEXEXTRACT(A7,""\d-\d{4}-\d{5}-\d{2}-\d"")"),"1-1078-00555-99-1")</f>
        <v>1-1078-00555-99-1</v>
      </c>
      <c r="C7" s="2" t="str">
        <f>IFERROR(__xludf.DUMMYFUNCTION("IF( REGEXMATCH(A7,""Mr""),""Male"", ""Female"")"),"Male")</f>
        <v>Male</v>
      </c>
      <c r="D7" s="2" t="str">
        <f>IFERROR(__xludf.DUMMYFUNCTION("REGEXEXTRACT(A7, ""(?:Mr|Miss)\.?\s(\w+)"")"),"Stuart")</f>
        <v>Stuart</v>
      </c>
      <c r="E7" s="2" t="str">
        <f>IFERROR(__xludf.DUMMYFUNCTION("REGEXEXTRACT(A7, ""(?:Mr|Miss)\.?\s(?:[A-Za-z]+\s)(\w+)"")"),"Lonely")</f>
        <v>Lonely</v>
      </c>
      <c r="F7" s="2" t="str">
        <f>IFERROR(__xludf.DUMMYFUNCTION("REGEXEXTRACT(A7, ""Date of Birth (.+)"")"),"20 Sep 1982")</f>
        <v>20 Sep 1982</v>
      </c>
      <c r="G7" s="2">
        <f t="shared" si="1"/>
        <v>43</v>
      </c>
      <c r="H7" s="2" t="str">
        <f>IFERROR(__xludf.DUMMYFUNCTION("REGEXEXTRACT(A7, ""Address(.+)"")")," 554 Seoul Korea 89237")</f>
        <v> 554 Seoul Korea 89237</v>
      </c>
      <c r="I7" s="2" t="str">
        <f>IFERROR(__xludf.DUMMYFUNCTION("REGEXEXTRACT(H7, ""[0-9]{5}$"")"),"89237")</f>
        <v>89237</v>
      </c>
      <c r="J7" s="2" t="str">
        <f>IFERROR(__xludf.DUMMYFUNCTION("REGEXEXTRACT(A7, ""Expired Date (.+)"")"),"31 Mar 2024")</f>
        <v>31 Mar 2024</v>
      </c>
      <c r="K7" s="10" t="str">
        <f t="shared" si="2"/>
        <v/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2" t="s">
        <v>272</v>
      </c>
      <c r="B8" s="2" t="str">
        <f>IFERROR(__xludf.DUMMYFUNCTION("REGEXEXTRACT(A8,""\d-\d{4}-\d{5}-\d{2}-\d"")"),"1-1078-00555-99-1")</f>
        <v>1-1078-00555-99-1</v>
      </c>
      <c r="C8" s="2" t="str">
        <f>IFERROR(__xludf.DUMMYFUNCTION("IF( REGEXMATCH(A8,""Mr""),""Male"", ""Female"")"),"Female")</f>
        <v>Female</v>
      </c>
      <c r="D8" s="2" t="str">
        <f>IFERROR(__xludf.DUMMYFUNCTION("REGEXEXTRACT(A8, ""(?:Mr|Miss)\.?\s(\w+)"")"),"Anya")</f>
        <v>Anya</v>
      </c>
      <c r="E8" s="2" t="str">
        <f>IFERROR(__xludf.DUMMYFUNCTION("REGEXEXTRACT(A8, ""(?:Mr|Miss)\.?\s(?:[A-Za-z]+\s)(\w+)"")"),"Tayloy")</f>
        <v>Tayloy</v>
      </c>
      <c r="F8" s="2" t="str">
        <f>IFERROR(__xludf.DUMMYFUNCTION("REGEXEXTRACT(A8, ""Date of Birth (.+)"")"),"05 May 1985")</f>
        <v>05 May 1985</v>
      </c>
      <c r="G8" s="2">
        <f t="shared" si="1"/>
        <v>40</v>
      </c>
      <c r="H8" s="2" t="str">
        <f>IFERROR(__xludf.DUMMYFUNCTION("REGEXEXTRACT(A8, ""Address(.+)"")")," 998 London United Kingdom 55387")</f>
        <v> 998 London United Kingdom 55387</v>
      </c>
      <c r="I8" s="2" t="str">
        <f>IFERROR(__xludf.DUMMYFUNCTION("REGEXEXTRACT(H8, ""[0-9]{5}$"")"),"55387")</f>
        <v>55387</v>
      </c>
      <c r="J8" s="2" t="str">
        <f>IFERROR(__xludf.DUMMYFUNCTION("REGEXEXTRACT(A8, ""Expired Date (.+)"")"),"15 Nov 2025")</f>
        <v>15 Nov 2025</v>
      </c>
      <c r="K8" s="10" t="str">
        <f t="shared" si="2"/>
        <v>Expired This Year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" t="s">
        <v>273</v>
      </c>
      <c r="C10" s="5" t="s">
        <v>274</v>
      </c>
      <c r="D10" s="2"/>
      <c r="E10" s="2"/>
      <c r="F10" s="2"/>
      <c r="G10" s="2"/>
      <c r="H10" s="1" t="s">
        <v>275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5" t="s">
        <v>258</v>
      </c>
      <c r="C11" s="24" t="s">
        <v>276</v>
      </c>
      <c r="D11" s="2"/>
      <c r="E11" s="2"/>
      <c r="F11" s="2"/>
      <c r="G11" s="2"/>
      <c r="H11" s="25" t="str">
        <f>FORMULATEXT(B4)</f>
        <v>=REGEXEXTRACT(A4,"\d-\d{4}-\d{5}-\d{2}-\d")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5" t="s">
        <v>259</v>
      </c>
      <c r="C12" s="24" t="s">
        <v>277</v>
      </c>
      <c r="D12" s="2"/>
      <c r="E12" s="2"/>
      <c r="F12" s="2"/>
      <c r="G12" s="2"/>
      <c r="H12" s="25" t="str">
        <f>FORMULATEXT(C4)</f>
        <v>=IF( REGEXMATCH(A4,"Mr"),"Male", "Female")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5" t="s">
        <v>260</v>
      </c>
      <c r="C13" s="24" t="s">
        <v>278</v>
      </c>
      <c r="D13" s="2"/>
      <c r="E13" s="2"/>
      <c r="F13" s="2"/>
      <c r="G13" s="2"/>
      <c r="H13" s="25" t="str">
        <f>FORMULATEXT(D4)</f>
        <v>=REGEXEXTRACT(A4, "(?:Mr|Miss)\.?\s(\w+)")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 t="s">
        <v>261</v>
      </c>
      <c r="C14" s="24" t="s">
        <v>279</v>
      </c>
      <c r="D14" s="2"/>
      <c r="E14" s="2"/>
      <c r="F14" s="2"/>
      <c r="G14" s="2"/>
      <c r="H14" s="25" t="str">
        <f>FORMULATEXT(E4)</f>
        <v>=REGEXEXTRACT(A4, "(?:Mr|Miss)\.?\s(?:[A-Za-z]+\s)(\w+)")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 t="s">
        <v>262</v>
      </c>
      <c r="C15" s="24" t="s">
        <v>280</v>
      </c>
      <c r="D15" s="2"/>
      <c r="E15" s="2"/>
      <c r="F15" s="2"/>
      <c r="G15" s="2"/>
      <c r="H15" s="25" t="str">
        <f>FORMULATEXT(F4)</f>
        <v>=REGEXEXTRACT(A4, "Date of Birth (.+)")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5" t="s">
        <v>263</v>
      </c>
      <c r="C16" s="24" t="s">
        <v>281</v>
      </c>
      <c r="D16" s="2"/>
      <c r="E16" s="2"/>
      <c r="F16" s="2"/>
      <c r="G16" s="2"/>
      <c r="H16" s="25" t="str">
        <f>FORMULATEXT(G4)</f>
        <v>=DATEDIF(F4, TODAY(), "Y")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5" t="s">
        <v>264</v>
      </c>
      <c r="C17" s="24" t="s">
        <v>282</v>
      </c>
      <c r="D17" s="2"/>
      <c r="E17" s="2"/>
      <c r="F17" s="2"/>
      <c r="G17" s="2"/>
      <c r="H17" s="25" t="str">
        <f>FORMULATEXT(H4)</f>
        <v>=REGEXEXTRACT(A4, "Address(.+)")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 t="s">
        <v>265</v>
      </c>
      <c r="C18" s="24" t="s">
        <v>283</v>
      </c>
      <c r="D18" s="2"/>
      <c r="E18" s="2"/>
      <c r="F18" s="2"/>
      <c r="G18" s="2"/>
      <c r="H18" s="25" t="str">
        <f>FORMULATEXT(I4)</f>
        <v>=REGEXEXTRACT(H4, "[0-9]{5}$")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5" t="s">
        <v>266</v>
      </c>
      <c r="C19" s="24" t="s">
        <v>284</v>
      </c>
      <c r="D19" s="2"/>
      <c r="E19" s="2"/>
      <c r="F19" s="2"/>
      <c r="G19" s="2"/>
      <c r="H19" s="25" t="str">
        <f>FORMULATEXT(J4)</f>
        <v>=REGEXEXTRACT(A4, "Expired Date (.+)")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5" t="s">
        <v>267</v>
      </c>
      <c r="C20" s="24" t="s">
        <v>285</v>
      </c>
      <c r="D20" s="2"/>
      <c r="E20" s="2"/>
      <c r="F20" s="2"/>
      <c r="G20" s="2"/>
      <c r="H20" s="25" t="str">
        <f>FORMULATEXT(K4)</f>
        <v>=IF( YEAR(J4)=2025, "Expired This Year", "")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5" t="s">
        <v>286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